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Profile" sheetId="1" state="visible" r:id="rId1"/>
    <sheet xmlns:r="http://schemas.openxmlformats.org/officeDocument/2006/relationships" name="Scorin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8"/>
    </font>
    <font>
      <name val="Arial"/>
      <b val="1"/>
      <sz val="9"/>
    </font>
    <font>
      <name val="Arial"/>
      <sz val="9"/>
    </font>
    <font>
      <name val="Arial"/>
      <color rgb="0000008B"/>
      <sz val="9"/>
    </font>
    <font>
      <name val="Arial"/>
      <color rgb="00333333"/>
      <sz val="9"/>
    </font>
    <font>
      <name val="Arial"/>
      <b val="1"/>
      <color rgb="00B71C1C"/>
      <sz val="9"/>
    </font>
    <font>
      <name val="Arial"/>
      <b val="1"/>
      <color rgb="00FFFFFF"/>
      <sz val="13"/>
    </font>
    <font>
      <name val="Arial"/>
      <b val="1"/>
      <sz val="10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B71C1C"/>
      </patternFill>
    </fill>
    <fill>
      <patternFill patternType="solid">
        <fgColor rgb="00B8CCE4"/>
      </patternFill>
    </fill>
    <fill>
      <patternFill patternType="solid">
        <fgColor rgb="00DDEBF7"/>
      </patternFill>
    </fill>
    <fill>
      <patternFill patternType="solid">
        <fgColor rgb="0093C6E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EAD1DC"/>
      </patternFill>
    </fill>
    <fill>
      <patternFill patternType="solid">
        <fgColor rgb="00D5A6BD"/>
      </patternFill>
    </fill>
    <fill>
      <patternFill patternType="solid">
        <fgColor rgb="00E2EFDA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388E3C"/>
      </patternFill>
    </fill>
    <fill>
      <patternFill patternType="solid">
        <fgColor rgb="0090CAF9"/>
      </patternFill>
    </fill>
    <fill>
      <patternFill patternType="solid">
        <fgColor rgb="00CE93D8"/>
      </patternFill>
    </fill>
    <fill>
      <patternFill patternType="solid">
        <fgColor rgb="00FFCDD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2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top"/>
    </xf>
    <xf numFmtId="0" fontId="12" fillId="16" borderId="1" applyAlignment="1" pivotButton="0" quotePrefix="0" xfId="0">
      <alignment vertical="top" wrapText="1"/>
    </xf>
    <xf numFmtId="2" fontId="13" fillId="6" borderId="1" applyAlignment="1" pivotButton="0" quotePrefix="0" xfId="0">
      <alignment horizontal="center" vertical="top"/>
    </xf>
    <xf numFmtId="164" fontId="14" fillId="27" borderId="1" applyAlignment="1" pivotButton="0" quotePrefix="0" xfId="0">
      <alignment horizontal="center" vertical="top"/>
    </xf>
    <xf numFmtId="2" fontId="13" fillId="21" borderId="1" applyAlignment="1" pivotButton="0" quotePrefix="0" xfId="0">
      <alignment horizontal="center" vertical="top"/>
    </xf>
    <xf numFmtId="164" fontId="15" fillId="26" borderId="1" applyAlignment="1" pivotButton="0" quotePrefix="0" xfId="0">
      <alignment horizontal="center" vertical="top"/>
    </xf>
    <xf numFmtId="0" fontId="12" fillId="7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top"/>
    </xf>
    <xf numFmtId="0" fontId="12" fillId="6" borderId="1" applyAlignment="1" pivotButton="0" quotePrefix="0" xfId="0">
      <alignment vertical="top" wrapText="1"/>
    </xf>
    <xf numFmtId="0" fontId="11" fillId="20" borderId="1" applyAlignment="1" pivotButton="0" quotePrefix="0" xfId="0">
      <alignment horizontal="center" vertical="top"/>
    </xf>
    <xf numFmtId="0" fontId="12" fillId="2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top"/>
    </xf>
    <xf numFmtId="0" fontId="12" fillId="3" borderId="1" applyAlignment="1" pivotButton="0" quotePrefix="0" xfId="0">
      <alignment vertical="top" wrapText="1"/>
    </xf>
    <xf numFmtId="0" fontId="11" fillId="13" borderId="1" applyAlignment="1" pivotButton="0" quotePrefix="0" xfId="0">
      <alignment horizontal="center" vertical="top"/>
    </xf>
    <xf numFmtId="0" fontId="12" fillId="13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top"/>
    </xf>
    <xf numFmtId="0" fontId="11" fillId="18" borderId="1" applyAlignment="1" pivotButton="0" quotePrefix="0" xfId="0">
      <alignment horizontal="center" vertical="top"/>
    </xf>
    <xf numFmtId="0" fontId="12" fillId="18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vertical="top" wrapText="1"/>
    </xf>
    <xf numFmtId="0" fontId="16" fillId="2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164" fontId="11" fillId="16" borderId="1" applyAlignment="1" pivotButton="0" quotePrefix="0" xfId="0">
      <alignment horizontal="center" vertical="top"/>
    </xf>
    <xf numFmtId="0" fontId="12" fillId="16" borderId="1" applyAlignment="1" pivotButton="0" quotePrefix="0" xfId="0">
      <alignment horizontal="center" vertical="top"/>
    </xf>
    <xf numFmtId="164" fontId="11" fillId="6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center" vertical="top"/>
    </xf>
    <xf numFmtId="164" fontId="11" fillId="20" borderId="1" applyAlignment="1" pivotButton="0" quotePrefix="0" xfId="0">
      <alignment horizontal="center" vertical="top"/>
    </xf>
    <xf numFmtId="0" fontId="12" fillId="20" borderId="1" applyAlignment="1" pivotButton="0" quotePrefix="0" xfId="0">
      <alignment horizontal="center" vertical="top"/>
    </xf>
    <xf numFmtId="164" fontId="11" fillId="3" borderId="1" applyAlignment="1" pivotButton="0" quotePrefix="0" xfId="0">
      <alignment horizontal="center" vertical="top"/>
    </xf>
    <xf numFmtId="0" fontId="12" fillId="3" borderId="1" applyAlignment="1" pivotButton="0" quotePrefix="0" xfId="0">
      <alignment horizontal="center" vertical="top"/>
    </xf>
    <xf numFmtId="164" fontId="11" fillId="13" borderId="1" applyAlignment="1" pivotButton="0" quotePrefix="0" xfId="0">
      <alignment horizontal="center" vertical="top"/>
    </xf>
    <xf numFmtId="0" fontId="12" fillId="13" borderId="1" applyAlignment="1" pivotButton="0" quotePrefix="0" xfId="0">
      <alignment horizontal="center" vertical="top"/>
    </xf>
    <xf numFmtId="164" fontId="11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164" fontId="11" fillId="18" borderId="1" applyAlignment="1" pivotButton="0" quotePrefix="0" xfId="0">
      <alignment horizontal="center" vertical="top"/>
    </xf>
    <xf numFmtId="0" fontId="12" fillId="18" borderId="1" applyAlignment="1" pivotButton="0" quotePrefix="0" xfId="0">
      <alignment horizontal="center" vertical="top"/>
    </xf>
    <xf numFmtId="164" fontId="11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20" customWidth="1" min="3" max="3"/>
  </cols>
  <sheetData>
    <row r="1" ht="28" customHeight="1">
      <c r="A1" s="1" t="inlineStr">
        <is>
          <t>Truth-Importance Scoring Sheet — Paper 2 Pre-Registration</t>
        </is>
      </c>
    </row>
    <row r="2" ht="32" customHeight="1">
      <c r="A2" s="2" t="inlineStr">
        <is>
          <t>All 100 statements scored BEFORE any human data is collected. This file constitutes the pre-registered framework output. Upload to OSF.io and timestamp before running the human study.</t>
        </is>
      </c>
    </row>
    <row r="4" ht="22" customHeight="1">
      <c r="A4" s="3" t="inlineStr">
        <is>
          <t>REFERENCE RECEIVER PROFILE (fixed for all 100 statements)</t>
        </is>
      </c>
    </row>
    <row r="5" ht="30" customHeight="1">
      <c r="A5" s="4" t="inlineStr">
        <is>
          <t>Age</t>
        </is>
      </c>
      <c r="B5" s="5" t="inlineStr">
        <is>
          <t>Mid-twenties</t>
        </is>
      </c>
      <c r="C5" s="6" t="inlineStr"/>
    </row>
    <row r="6" ht="30" customHeight="1">
      <c r="A6" s="4" t="inlineStr">
        <is>
          <t>Location</t>
        </is>
      </c>
      <c r="B6" s="5" t="inlineStr">
        <is>
          <t>Fes, Morocco (mid-sized city)</t>
        </is>
      </c>
      <c r="C6" s="6" t="inlineStr"/>
    </row>
    <row r="7" ht="30" customHeight="1">
      <c r="A7" s="4" t="inlineStr">
        <is>
          <t>Education</t>
        </is>
      </c>
      <c r="B7" s="5" t="inlineStr">
        <is>
          <t>University level (licence or above)</t>
        </is>
      </c>
      <c r="C7" s="6" t="inlineStr"/>
    </row>
    <row r="8" ht="30" customHeight="1">
      <c r="A8" s="4" t="inlineStr">
        <is>
          <t>Language</t>
        </is>
      </c>
      <c r="B8" s="5" t="inlineStr">
        <is>
          <t>Arabic/Darija primary, French functional</t>
        </is>
      </c>
      <c r="C8" s="6" t="inlineStr"/>
    </row>
    <row r="9" ht="30" customHeight="1">
      <c r="A9" s="4" t="inlineStr">
        <is>
          <t>Media consumption</t>
        </is>
      </c>
      <c r="B9" s="5" t="inlineStr">
        <is>
          <t>High — WhatsApp, TikTok, YouTube, Arabic and French press. Skeptical consumer of all platforms.</t>
        </is>
      </c>
      <c r="C9" s="6" t="inlineStr">
        <is>
          <t>Informs N_raw, P_var, Q_rel defaults</t>
        </is>
      </c>
    </row>
    <row r="10" ht="30" customHeight="1">
      <c r="A10" s="4" t="inlineStr">
        <is>
          <t>Religious orientation</t>
        </is>
      </c>
      <c r="B10" s="5" t="inlineStr">
        <is>
          <t>Practicing Muslim. Does not conflate religion with traditional medicine or superstition.</t>
        </is>
      </c>
      <c r="C10" s="6" t="inlineStr">
        <is>
          <t>Informs Q_rel for religious statements</t>
        </is>
      </c>
    </row>
    <row r="11" ht="30" customHeight="1">
      <c r="A11" s="4" t="inlineStr">
        <is>
          <t>Economic class</t>
        </is>
      </c>
      <c r="B11" s="5" t="inlineStr">
        <is>
          <t>Lower-middle to middle. Lived experience of cost-of-living pressure.</t>
        </is>
      </c>
      <c r="C11" s="6" t="inlineStr">
        <is>
          <t>Informs AC_var for economic statements</t>
        </is>
      </c>
    </row>
    <row r="12" ht="30" customHeight="1">
      <c r="A12" s="4" t="inlineStr">
        <is>
          <t>Political awareness</t>
        </is>
      </c>
      <c r="B12" s="5" t="inlineStr">
        <is>
          <t>Informed, cautious about sensitive topics. Not activist.</t>
        </is>
      </c>
      <c r="C12" s="6" t="inlineStr">
        <is>
          <t>Informs AB_var for political statements</t>
        </is>
      </c>
    </row>
    <row r="13" ht="30" customHeight="1">
      <c r="A13" s="4" t="inlineStr">
        <is>
          <t>Prior knowledge P</t>
        </is>
      </c>
      <c r="B13" s="5" t="inlineStr">
        <is>
          <t>High on economics, health system, education, social life. Moderate on science/environment. High on history and identity.</t>
        </is>
      </c>
      <c r="C13" s="6" t="inlineStr">
        <is>
          <t>P_var per domain: Econ=0.75, Health=0.65, Edu=0.70, Science=0.55, History=0.70, Tech=0.60, BigIdeas=0.50</t>
        </is>
      </c>
    </row>
    <row r="14" ht="30" customHeight="1">
      <c r="A14" s="4" t="inlineStr">
        <is>
          <t>Relationship to source Q_rel</t>
        </is>
      </c>
      <c r="B14" s="5" t="inlineStr">
        <is>
          <t>Default 0.50 (stranger/media). Adjusted per statement where source is personally known or institutionally proximate.</t>
        </is>
      </c>
      <c r="C14" s="6" t="inlineStr"/>
    </row>
    <row r="15" ht="30" customHeight="1">
      <c r="A15" s="4" t="inlineStr">
        <is>
          <t>Cognitive/emotional state R</t>
        </is>
      </c>
      <c r="B15" s="5" t="inlineStr">
        <is>
          <t>Default 0.55 (engaged, not overwhelmed). Adjusted for statements with high emotional charge.</t>
        </is>
      </c>
      <c r="C15" s="6" t="inlineStr"/>
    </row>
    <row r="17" ht="22" customHeight="1">
      <c r="A17" s="3" t="inlineStr">
        <is>
          <t>VARIABLE SCORING GUIDE</t>
        </is>
      </c>
    </row>
    <row r="18" ht="24" customHeight="1">
      <c r="A18" s="7" t="inlineStr">
        <is>
          <t>CLUSTER 1 — SOURCE CREDIBILITY</t>
        </is>
      </c>
      <c r="B18" s="8" t="inlineStr"/>
      <c r="C18" s="6" t="inlineStr"/>
    </row>
    <row r="19" ht="24" customHeight="1">
      <c r="A19" s="4" t="inlineStr">
        <is>
          <t>B1–B4 (bias vector)</t>
        </is>
      </c>
      <c r="B19" s="9" t="inlineStr">
        <is>
          <t>0=fully biased in this domain, 1=no bias. B1=political, B2=financial, B3=institutional, B4=motivated reasoning.</t>
        </is>
      </c>
      <c r="C19" s="6" t="inlineStr">
        <is>
          <t>Default: uniform weights → B_eff = AVERAGE(B1:B4)</t>
        </is>
      </c>
    </row>
    <row r="20" ht="24" customHeight="1">
      <c r="A20" s="4" t="inlineStr">
        <is>
          <t>C1–C4 (expertise vector)</t>
        </is>
      </c>
      <c r="B20" s="9" t="inlineStr">
        <is>
          <t>0=no expertise, 1=maximum. C1=formal credentials, C2=peer recognition, C3=years practice, C4=novel contributions track record.</t>
        </is>
      </c>
      <c r="C20" s="6" t="inlineStr">
        <is>
          <t>Default: uniform weights → C_eff = AVERAGE(C1:C4)</t>
        </is>
      </c>
    </row>
    <row r="21" ht="24" customHeight="1">
      <c r="A21" s="4" t="inlineStr">
        <is>
          <t>D (rank relative to receiver)</t>
        </is>
      </c>
      <c r="B21" s="9" t="inlineStr">
        <is>
          <t>0=far below receiver, 0.5=equal, 1=far above receiver.</t>
        </is>
      </c>
      <c r="C21" s="6" t="inlineStr">
        <is>
          <t>UN Secretary of State to UN = 0.95. Anonymous WhatsApp forward = 0.20.</t>
        </is>
      </c>
    </row>
    <row r="22" ht="24" customHeight="1">
      <c r="A22" s="4" t="inlineStr">
        <is>
          <t>E (stated confidence)</t>
        </is>
      </c>
      <c r="B22" s="9" t="inlineStr">
        <is>
          <t>0=explicit uncertainty, 0.5=neutral, 1=maximum stated certainty. Self-reported — carries less weight than D by design.</t>
        </is>
      </c>
      <c r="C22" s="6" t="inlineStr">
        <is>
          <t>'I think' = 0.50. 'I confirm' = 0.90.</t>
        </is>
      </c>
    </row>
    <row r="23" ht="24" customHeight="1">
      <c r="A23" s="7" t="inlineStr">
        <is>
          <t>CLUSTER 2 — STATEMENT PROPERTIES</t>
        </is>
      </c>
      <c r="B23" s="8" t="inlineStr"/>
      <c r="C23" s="6" t="inlineStr"/>
    </row>
    <row r="24" ht="24" customHeight="1">
      <c r="A24" s="4" t="inlineStr">
        <is>
          <t>F (novelty relative to field)</t>
        </is>
      </c>
      <c r="B24" s="9" t="inlineStr">
        <is>
          <t>0=completely standard claim, 1=extraordinary new claim.</t>
        </is>
      </c>
      <c r="C24" s="6" t="inlineStr">
        <is>
          <t>Extraordinary claims penalised via F^1.4.</t>
        </is>
      </c>
    </row>
    <row r="25" ht="24" customHeight="1">
      <c r="A25" s="4" t="inlineStr">
        <is>
          <t>G (internal logical consistency)</t>
        </is>
      </c>
      <c r="B25" s="9" t="inlineStr">
        <is>
          <t>0=internally contradictory, 1=fully coherent.</t>
        </is>
      </c>
      <c r="C25" s="6" t="inlineStr">
        <is>
          <t>Necessary but insufficient for truth.</t>
        </is>
      </c>
    </row>
    <row r="26" ht="24" customHeight="1">
      <c r="A26" s="4" t="inlineStr">
        <is>
          <t>H_f (falsifiability)</t>
        </is>
      </c>
      <c r="B26" s="9" t="inlineStr">
        <is>
          <t>0=in principle untestable, 1=directly verifiable empirically. H_f=0 collapses Stmt to 0 regardless of G.</t>
        </is>
      </c>
      <c r="C26" s="6" t="inlineStr">
        <is>
          <t>Simulation theory = 0.02. Clinical trial = 0.95.</t>
        </is>
      </c>
    </row>
    <row r="27" ht="24" customHeight="1">
      <c r="A27" s="4" t="inlineStr">
        <is>
          <t>J (specificity)</t>
        </is>
      </c>
      <c r="B27" s="9" t="inlineStr">
        <is>
          <t>0=vague generality, 1=precise bounded claim.</t>
        </is>
      </c>
      <c r="C27" s="6" t="inlineStr">
        <is>
          <t>'Some people say prices are high' = 0.20. 'Eggs hit 1.8dh in March 2024' = 0.85.</t>
        </is>
      </c>
    </row>
    <row r="28" ht="24" customHeight="1">
      <c r="A28" s="7" t="inlineStr">
        <is>
          <t>CLUSTER 3 — DELIVERY</t>
        </is>
      </c>
      <c r="B28" s="8" t="inlineStr"/>
      <c r="C28" s="6" t="inlineStr"/>
    </row>
    <row r="29" ht="24" customHeight="1">
      <c r="A29" s="4" t="inlineStr">
        <is>
          <t>S_r (language register)</t>
        </is>
      </c>
      <c r="B29" s="9" t="inlineStr">
        <is>
          <t>0=completely inappropriate register for receiver, 1=perfect match.</t>
        </is>
      </c>
      <c r="C29" s="6" t="inlineStr">
        <is>
          <t>Technical jargon to lay audience = 0.20.</t>
        </is>
      </c>
    </row>
    <row r="30" ht="24" customHeight="1">
      <c r="A30" s="4" t="inlineStr">
        <is>
          <t>T_r (tone)</t>
        </is>
      </c>
      <c r="B30" s="9" t="inlineStr">
        <is>
          <t>0=grossly inappropriate tone, 1=perfectly appropriate.</t>
        </is>
      </c>
      <c r="C30" s="6" t="inlineStr">
        <is>
          <t>Panic tone for routine claim = 0.20.</t>
        </is>
      </c>
    </row>
    <row r="31" ht="24" customHeight="1">
      <c r="A31" s="4" t="inlineStr">
        <is>
          <t>U_r (expression/nonverbal)</t>
        </is>
      </c>
      <c r="B31" s="9" t="inlineStr">
        <is>
          <t>Weakest signal. 0=strong incongruence, 1=full congruence.</t>
        </is>
      </c>
      <c r="C31" s="6" t="inlineStr">
        <is>
          <t>Text statements: default 0.60 (no nonverbal signal).</t>
        </is>
      </c>
    </row>
    <row r="32" ht="24" customHeight="1">
      <c r="A32" s="4" t="inlineStr">
        <is>
          <t>V_r (time context)</t>
        </is>
      </c>
      <c r="B32" s="9" t="inlineStr">
        <is>
          <t>0=worst possible timing, 1=optimal timing.</t>
        </is>
      </c>
      <c r="C32" s="6" t="inlineStr">
        <is>
          <t>Breaking news during crisis = 0.95.</t>
        </is>
      </c>
    </row>
    <row r="33" ht="24" customHeight="1">
      <c r="A33" s="4" t="inlineStr">
        <is>
          <t>W_r (location/setting)</t>
        </is>
      </c>
      <c r="B33" s="9" t="inlineStr">
        <is>
          <t>0=inappropriate/degrading setting, 1=strongest institutional setting.</t>
        </is>
      </c>
      <c r="C33" s="6" t="inlineStr">
        <is>
          <t>UN Security Council = 0.99. WhatsApp = 0.35.</t>
        </is>
      </c>
    </row>
    <row r="34" ht="24" customHeight="1">
      <c r="A34" s="4" t="inlineStr">
        <is>
          <t>X_r (public/private)</t>
        </is>
      </c>
      <c r="B34" s="9" t="inlineStr">
        <is>
          <t>0=statement to oneself (collapses Deliv), 1=maximum public visibility.</t>
        </is>
      </c>
      <c r="C34" s="6" t="inlineStr">
        <is>
          <t>Viral tweet = 0.95. Family dinner = 0.45.</t>
        </is>
      </c>
    </row>
    <row r="35" ht="24" customHeight="1">
      <c r="A35" s="7" t="inlineStr">
        <is>
          <t>CLUSTER 4 — SITUATIONAL</t>
        </is>
      </c>
      <c r="B35" s="8" t="inlineStr"/>
      <c r="C35" s="6" t="inlineStr"/>
    </row>
    <row r="36" ht="24" customHeight="1">
      <c r="A36" s="4" t="inlineStr">
        <is>
          <t>Y_r (general situation)</t>
        </is>
      </c>
      <c r="B36" s="9" t="inlineStr">
        <is>
          <t>Background charge of context. 0=maximally hostile background, 1=maximally receptive background.</t>
        </is>
      </c>
      <c r="C36" s="6" t="inlineStr"/>
    </row>
    <row r="37" ht="24" customHeight="1">
      <c r="A37" s="4" t="inlineStr">
        <is>
          <t>Z_r (speaker stakes)</t>
        </is>
      </c>
      <c r="B37" s="9" t="inlineStr">
        <is>
          <t>0=nothing to lose, 1=everything to lose. Used via Z_eff = Z*(1−Z*B_eff) — high stakes from biased source are discounted.</t>
        </is>
      </c>
      <c r="C37" s="6" t="inlineStr">
        <is>
          <t>Deathbed confession = 0.95. Anonymous post = 0.05.</t>
        </is>
      </c>
    </row>
    <row r="38" ht="24" customHeight="1">
      <c r="A38" s="4" t="inlineStr">
        <is>
          <t>AA_r (audience composition)</t>
        </is>
      </c>
      <c r="B38" s="9" t="inlineStr">
        <is>
          <t>0=hostile/incompetent audience, 1=perfectly receptive expert audience. Enters with very low exponent (0.2) — weak signal.</t>
        </is>
      </c>
      <c r="C38" s="6" t="inlineStr"/>
    </row>
    <row r="39" ht="24" customHeight="1">
      <c r="A39" s="4" t="inlineStr">
        <is>
          <t>AB_r (opposing voices)</t>
        </is>
      </c>
      <c r="B39" s="9" t="inlineStr">
        <is>
          <t>0=maximum active opposition, 1=no opposition. Enters superlinearly (^2.1) — even moderate opposition is a strong negative signal.</t>
        </is>
      </c>
      <c r="C39" s="6" t="inlineStr">
        <is>
          <t>Scientific consensus = 0.95. Contested political claim = 0.40.</t>
        </is>
      </c>
    </row>
    <row r="40" ht="24" customHeight="1">
      <c r="A40" s="4" t="inlineStr">
        <is>
          <t>AD_r (broad stakes)</t>
        </is>
      </c>
      <c r="B40" s="9" t="inlineStr">
        <is>
          <t>0=affects nobody beyond speaker, 1=affects all of humanity. Dominates Sit alongside Z_eff.</t>
        </is>
      </c>
      <c r="C40" s="6" t="inlineStr"/>
    </row>
    <row r="41" ht="24" customHeight="1">
      <c r="A41" s="7" t="inlineStr">
        <is>
          <t>CLUSTER 5 — RECEIVER</t>
        </is>
      </c>
      <c r="B41" s="8" t="inlineStr"/>
      <c r="C41" s="6" t="inlineStr"/>
    </row>
    <row r="42" ht="40" customHeight="1">
      <c r="A42" s="4" t="inlineStr">
        <is>
          <t>N_raw (KL divergence proxy)</t>
        </is>
      </c>
      <c r="B42" s="9" t="inlineStr">
        <is>
          <t>Continuous. Use these anchors:
0.0–0.3: fully consistent with receiver beliefs, no surprise.
0.5–0.8: mild update, somewhat new.
1.0–1.5: meaningful update, substantially new.
2.0+: strong divergence, contradicts or greatly expands beliefs.
Interpolate continuously.</t>
        </is>
      </c>
      <c r="C42" s="6" t="inlineStr">
        <is>
          <t>N_norm = 1−EXP(−N). N_perc = inverted U (peaks ~N_norm=0.32). N_imp = monotone increasing.</t>
        </is>
      </c>
    </row>
    <row r="43" ht="24" customHeight="1">
      <c r="A43" s="4" t="inlineStr">
        <is>
          <t>P_var (prior knowledge)</t>
        </is>
      </c>
      <c r="B43" s="9" t="inlineStr">
        <is>
          <t>0=no knowledge of domain, 1=full expert knowledge. High P pulls T_perc toward T_abs. See receiver profile for domain defaults.</t>
        </is>
      </c>
      <c r="C43" s="6" t="inlineStr"/>
    </row>
    <row r="44" ht="24" customHeight="1">
      <c r="A44" s="4" t="inlineStr">
        <is>
          <t>Q_rel (relationship to speaker)</t>
        </is>
      </c>
      <c r="B44" s="9" t="inlineStr">
        <is>
          <t>0=deeply distrusted, 0.5=stranger, 1=fully trusted intimate.</t>
        </is>
      </c>
      <c r="C44" s="6" t="inlineStr"/>
    </row>
    <row r="45" ht="24" customHeight="1">
      <c r="A45" s="4" t="inlineStr">
        <is>
          <t>R_var (cognitive/emotional state)</t>
        </is>
      </c>
      <c r="B45" s="9" t="inlineStr">
        <is>
          <t>0=catatonic or overwhelmed, 0.5=optimal engagement, 1=manic. Inverted U via 4R(1−R).</t>
        </is>
      </c>
      <c r="C45" s="6" t="inlineStr">
        <is>
          <t>Default 0.55 per receiver profile.</t>
        </is>
      </c>
    </row>
    <row r="46" ht="24" customHeight="1">
      <c r="A46" s="4" t="inlineStr">
        <is>
          <t>AC_var (personal consequence)</t>
        </is>
      </c>
      <c r="B46" s="9" t="inlineStr">
        <is>
          <t>0=statement is irrelevant to receiver's life, 1=statement directly changes receiver's world. AC=0 collapses Recv to 0.</t>
        </is>
      </c>
      <c r="C46" s="6" t="inlineStr"/>
    </row>
    <row r="47" ht="24" customHeight="1">
      <c r="A47" s="7" t="inlineStr">
        <is>
          <t>CLUSTER 6 — CORROBORATION</t>
        </is>
      </c>
      <c r="B47" s="8" t="inlineStr"/>
      <c r="C47" s="6" t="inlineStr"/>
    </row>
    <row r="48" ht="24" customHeight="1">
      <c r="A48" s="4" t="inlineStr">
        <is>
          <t>K_base (best source LR)</t>
        </is>
      </c>
      <c r="B48" s="9" t="inlineStr">
        <is>
          <t>Likelihood ratio of the single strongest independent corroborating source. 1.0=no update. &gt;1=positive. Rarely above 10.</t>
        </is>
      </c>
      <c r="C48" s="6" t="inlineStr">
        <is>
          <t>Peer-reviewed meta-analysis: 8. Single news report: 1.5. No corroboration: 1.0.</t>
        </is>
      </c>
    </row>
    <row r="49" ht="24" customHeight="1">
      <c r="A49" s="4" t="inlineStr">
        <is>
          <t>K_n (number of independent sources)</t>
        </is>
      </c>
      <c r="B49" s="9" t="inlineStr">
        <is>
          <t>Count of genuinely independent corroborating sources. Formula applies diminishing returns automatically.</t>
        </is>
      </c>
      <c r="C49" s="6" t="inlineStr"/>
    </row>
    <row r="50" ht="24" customHeight="1">
      <c r="A50" s="4" t="inlineStr">
        <is>
          <t>L_var (established knowledge consistency)</t>
        </is>
      </c>
      <c r="B50" s="9" t="inlineStr">
        <is>
          <t>0=contradicts well-established knowledge, 1=fully consistent with established knowledge. x0=0.75.</t>
        </is>
      </c>
      <c r="C50" s="6" t="inlineStr"/>
    </row>
    <row r="51" ht="24" customHeight="1">
      <c r="A51" s="4" t="inlineStr">
        <is>
          <t>M_var (physical/empirical evidence)</t>
        </is>
      </c>
      <c r="B51" s="9" t="inlineStr">
        <is>
          <t>0=no physical evidence, 1=direct, replicated, peer-reviewed evidence. x0=0.50.</t>
        </is>
      </c>
      <c r="C51" s="6" t="inlineStr"/>
    </row>
  </sheetData>
  <mergeCells count="4">
    <mergeCell ref="A1:C1"/>
    <mergeCell ref="A4:C4"/>
    <mergeCell ref="A2:C2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102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9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9" customWidth="1" min="28" max="28"/>
    <col width="9" customWidth="1" min="29" max="29"/>
    <col width="7" customWidth="1" min="30" max="30"/>
    <col width="7" customWidth="1" min="31" max="31"/>
    <col width="8" customWidth="1" min="32" max="32"/>
    <col width="7" customWidth="1" min="33" max="33"/>
    <col width="7" customWidth="1" min="34" max="34"/>
    <col width="7" customWidth="1" min="35" max="35"/>
    <col width="9" customWidth="1" min="36" max="36"/>
    <col width="9" customWidth="1" min="37" max="37"/>
    <col width="7" customWidth="1" min="38" max="38"/>
    <col width="8" customWidth="1" min="39" max="39"/>
    <col width="8" customWidth="1" min="40" max="40"/>
    <col width="7" customWidth="1" min="41" max="41"/>
    <col width="7" customWidth="1" min="42" max="42"/>
    <col width="7" customWidth="1" min="43" max="43"/>
    <col width="7" customWidth="1" min="44" max="44"/>
    <col width="9" customWidth="1" min="45" max="45"/>
    <col width="9" customWidth="1" min="46" max="46"/>
    <col width="8" customWidth="1" min="47" max="47"/>
    <col width="7" customWidth="1" min="48" max="48"/>
    <col width="9" customWidth="1" min="49" max="49"/>
    <col width="7" customWidth="1" min="50" max="50"/>
    <col width="7" customWidth="1" min="51" max="51"/>
    <col width="7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9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9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9" customWidth="1" min="77" max="77"/>
    <col width="8" customWidth="1" min="78" max="78"/>
    <col width="8" customWidth="1" min="79" max="79"/>
    <col width="9" customWidth="1" min="80" max="80"/>
    <col width="9" customWidth="1" min="81" max="81"/>
    <col width="9" customWidth="1" min="82" max="82"/>
    <col width="9" customWidth="1" min="83" max="83"/>
    <col width="30" customWidth="1" min="84" max="84"/>
  </cols>
  <sheetData>
    <row r="1" ht="22" customHeight="1">
      <c r="A1" s="10" t="inlineStr">
        <is>
          <t>#</t>
        </is>
      </c>
      <c r="B1" s="10" t="inlineStr">
        <is>
          <t>Statement</t>
        </is>
      </c>
      <c r="C1" s="10" t="inlineStr">
        <is>
          <t>Domain</t>
        </is>
      </c>
      <c r="D1" s="11" t="inlineStr">
        <is>
          <t>CLUSTER 1 — SOURCE CREDIBILITY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6" t="n"/>
      <c r="Q1" s="12" t="inlineStr">
        <is>
          <t>CLUSTER 2 — STATEMENT</t>
        </is>
      </c>
      <c r="R1" s="75" t="n"/>
      <c r="S1" s="75" t="n"/>
      <c r="T1" s="75" t="n"/>
      <c r="U1" s="76" t="n"/>
      <c r="V1" s="11" t="inlineStr">
        <is>
          <t>CLUSTER 3 — DELIVERY</t>
        </is>
      </c>
      <c r="W1" s="75" t="n"/>
      <c r="X1" s="75" t="n"/>
      <c r="Y1" s="75" t="n"/>
      <c r="Z1" s="75" t="n"/>
      <c r="AA1" s="75" t="n"/>
      <c r="AB1" s="75" t="n"/>
      <c r="AC1" s="76" t="n"/>
      <c r="AD1" s="12" t="inlineStr">
        <is>
          <t>CLUSTER 4 — SITUATIONAL</t>
        </is>
      </c>
      <c r="AE1" s="75" t="n"/>
      <c r="AF1" s="75" t="n"/>
      <c r="AG1" s="75" t="n"/>
      <c r="AH1" s="75" t="n"/>
      <c r="AI1" s="75" t="n"/>
      <c r="AJ1" s="75" t="n"/>
      <c r="AK1" s="76" t="n"/>
      <c r="AL1" s="11" t="inlineStr">
        <is>
          <t>CLUSTER 5 — RECEIVER</t>
        </is>
      </c>
      <c r="AM1" s="75" t="n"/>
      <c r="AN1" s="75" t="n"/>
      <c r="AO1" s="75" t="n"/>
      <c r="AP1" s="75" t="n"/>
      <c r="AQ1" s="75" t="n"/>
      <c r="AR1" s="75" t="n"/>
      <c r="AS1" s="75" t="n"/>
      <c r="AT1" s="76" t="n"/>
      <c r="AU1" s="12" t="inlineStr">
        <is>
          <t>CLUSTER 6 — CORROBORATION</t>
        </is>
      </c>
      <c r="AV1" s="75" t="n"/>
      <c r="AW1" s="75" t="n"/>
      <c r="AX1" s="75" t="n"/>
      <c r="AY1" s="76" t="n"/>
      <c r="AZ1" s="13" t="inlineStr">
        <is>
          <t>T_abs COMPUTATION</t>
        </is>
      </c>
      <c r="BA1" s="75" t="n"/>
      <c r="BB1" s="75" t="n"/>
      <c r="BC1" s="75" t="n"/>
      <c r="BD1" s="75" t="n"/>
      <c r="BE1" s="75" t="n"/>
      <c r="BF1" s="75" t="n"/>
      <c r="BG1" s="75" t="n"/>
      <c r="BH1" s="76" t="n"/>
      <c r="BI1" s="14" t="inlineStr">
        <is>
          <t>T_perc COMPUTATION</t>
        </is>
      </c>
      <c r="BJ1" s="75" t="n"/>
      <c r="BK1" s="75" t="n"/>
      <c r="BL1" s="75" t="n"/>
      <c r="BM1" s="75" t="n"/>
      <c r="BN1" s="76" t="n"/>
      <c r="BO1" s="15" t="inlineStr">
        <is>
          <t>I COMPUTATION</t>
        </is>
      </c>
      <c r="BP1" s="75" t="n"/>
      <c r="BQ1" s="75" t="n"/>
      <c r="BR1" s="75" t="n"/>
      <c r="BS1" s="75" t="n"/>
      <c r="BT1" s="75" t="n"/>
      <c r="BU1" s="75" t="n"/>
      <c r="BV1" s="75" t="n"/>
      <c r="BW1" s="75" t="n"/>
      <c r="BX1" s="75" t="n"/>
      <c r="BY1" s="75" t="n"/>
      <c r="BZ1" s="75" t="n"/>
      <c r="CA1" s="75" t="n"/>
      <c r="CB1" s="76" t="n"/>
      <c r="CC1" s="16" t="inlineStr">
        <is>
          <t>OUTPUTS</t>
        </is>
      </c>
      <c r="CD1" s="75" t="n"/>
      <c r="CE1" s="76" t="n"/>
      <c r="CF1" s="10" t="inlineStr">
        <is>
          <t>NOTES</t>
        </is>
      </c>
    </row>
    <row r="2" ht="48" customHeight="1">
      <c r="A2" s="17" t="inlineStr">
        <is>
          <t>#</t>
        </is>
      </c>
      <c r="B2" s="17" t="inlineStr">
        <is>
          <t>Statement</t>
        </is>
      </c>
      <c r="C2" s="17" t="inlineStr">
        <is>
          <t>Domain</t>
        </is>
      </c>
      <c r="D2" s="18" t="inlineStr">
        <is>
          <t>B1
Political
Bias</t>
        </is>
      </c>
      <c r="E2" s="18" t="inlineStr">
        <is>
          <t>B2
Financial
Bias</t>
        </is>
      </c>
      <c r="F2" s="18" t="inlineStr">
        <is>
          <t>B3
Institutional
Bias</t>
        </is>
      </c>
      <c r="G2" s="18" t="inlineStr">
        <is>
          <t>B4
Motivated
Reasoning</t>
        </is>
      </c>
      <c r="H2" s="18" t="inlineStr">
        <is>
          <t>B_eff
=AVG(B1:B4)</t>
        </is>
      </c>
      <c r="I2" s="18" t="inlineStr">
        <is>
          <t>C1
Credentials</t>
        </is>
      </c>
      <c r="J2" s="18" t="inlineStr">
        <is>
          <t>C2
Peer Recog.</t>
        </is>
      </c>
      <c r="K2" s="18" t="inlineStr">
        <is>
          <t>C3
Yrs Practice</t>
        </is>
      </c>
      <c r="L2" s="18" t="inlineStr">
        <is>
          <t>C4
Track Record</t>
        </is>
      </c>
      <c r="M2" s="18" t="inlineStr">
        <is>
          <t>C_eff
=AVG(C1:C4)</t>
        </is>
      </c>
      <c r="N2" s="18" t="inlineStr">
        <is>
          <t>D
Rank vs
Receiver</t>
        </is>
      </c>
      <c r="O2" s="18" t="inlineStr">
        <is>
          <t>E
Stated
Confidence</t>
        </is>
      </c>
      <c r="P2" s="19" t="inlineStr">
        <is>
          <t>Cred
[FORMULA]</t>
        </is>
      </c>
      <c r="Q2" s="20" t="inlineStr">
        <is>
          <t>F
Novelty</t>
        </is>
      </c>
      <c r="R2" s="20" t="inlineStr">
        <is>
          <t>G
Consistency</t>
        </is>
      </c>
      <c r="S2" s="20" t="inlineStr">
        <is>
          <t>H_f
Falsifiability</t>
        </is>
      </c>
      <c r="T2" s="20" t="inlineStr">
        <is>
          <t>J
Specificity</t>
        </is>
      </c>
      <c r="U2" s="21" t="inlineStr">
        <is>
          <t>Stmt
[FORMULA]</t>
        </is>
      </c>
      <c r="V2" s="22" t="inlineStr">
        <is>
          <t>S_r
Language
Register</t>
        </is>
      </c>
      <c r="W2" s="22" t="inlineStr">
        <is>
          <t>T_r
Tone</t>
        </is>
      </c>
      <c r="X2" s="22" t="inlineStr">
        <is>
          <t>U_r
Expression</t>
        </is>
      </c>
      <c r="Y2" s="22" t="inlineStr">
        <is>
          <t>V_r
Time
Context</t>
        </is>
      </c>
      <c r="Z2" s="22" t="inlineStr">
        <is>
          <t>W_r
Location</t>
        </is>
      </c>
      <c r="AA2" s="22" t="inlineStr">
        <is>
          <t>X_r
Public/
Private</t>
        </is>
      </c>
      <c r="AB2" s="23" t="inlineStr">
        <is>
          <t>Deliv_raw
[FORMULA]</t>
        </is>
      </c>
      <c r="AC2" s="23" t="inlineStr">
        <is>
          <t>Deliv
=SQRT(raw)</t>
        </is>
      </c>
      <c r="AD2" s="24" t="inlineStr">
        <is>
          <t>Y_r
Gen.
Situation</t>
        </is>
      </c>
      <c r="AE2" s="24" t="inlineStr">
        <is>
          <t>Z_r
Speaker
Stakes</t>
        </is>
      </c>
      <c r="AF2" s="24" t="inlineStr">
        <is>
          <t>Z_eff
[FORMULA]</t>
        </is>
      </c>
      <c r="AG2" s="24" t="inlineStr">
        <is>
          <t>AA_r
Audience</t>
        </is>
      </c>
      <c r="AH2" s="24" t="inlineStr">
        <is>
          <t>AB_r
Opposition</t>
        </is>
      </c>
      <c r="AI2" s="24" t="inlineStr">
        <is>
          <t>AD_r
Broad
Stakes</t>
        </is>
      </c>
      <c r="AJ2" s="25" t="inlineStr">
        <is>
          <t>Sit_raw
[FORMULA]</t>
        </is>
      </c>
      <c r="AK2" s="25" t="inlineStr">
        <is>
          <t>Sit
=SQRT(raw)</t>
        </is>
      </c>
      <c r="AL2" s="26" t="inlineStr">
        <is>
          <t>N_raw
KL Proxy</t>
        </is>
      </c>
      <c r="AM2" s="26" t="inlineStr">
        <is>
          <t>N_norm
[FORMULA]</t>
        </is>
      </c>
      <c r="AN2" s="26" t="inlineStr">
        <is>
          <t>N_perc
[FORMULA]</t>
        </is>
      </c>
      <c r="AO2" s="26" t="inlineStr">
        <is>
          <t>P
Prior
Knowledge</t>
        </is>
      </c>
      <c r="AP2" s="26" t="inlineStr">
        <is>
          <t>Q_rel
Relationship</t>
        </is>
      </c>
      <c r="AQ2" s="26" t="inlineStr">
        <is>
          <t>R_var
Cog/Emo
State</t>
        </is>
      </c>
      <c r="AR2" s="26" t="inlineStr">
        <is>
          <t>AC_var
Personal
Conseq.</t>
        </is>
      </c>
      <c r="AS2" s="27" t="inlineStr">
        <is>
          <t>Recv_raw
[FORMULA]</t>
        </is>
      </c>
      <c r="AT2" s="27" t="inlineStr">
        <is>
          <t>Recv
=CBRT(raw)</t>
        </is>
      </c>
      <c r="AU2" s="28" t="inlineStr">
        <is>
          <t>K_base
Best LR</t>
        </is>
      </c>
      <c r="AV2" s="28" t="inlineStr">
        <is>
          <t>K_n
# Sources</t>
        </is>
      </c>
      <c r="AW2" s="28" t="inlineStr">
        <is>
          <t>K_comb
[FORMULA]</t>
        </is>
      </c>
      <c r="AX2" s="28" t="inlineStr">
        <is>
          <t>L
Estab.
Knowledge</t>
        </is>
      </c>
      <c r="AY2" s="28" t="inlineStr">
        <is>
          <t>M
Physical
Evidence</t>
        </is>
      </c>
      <c r="AZ2" s="29" t="inlineStr">
        <is>
          <t>Prior
P(A)</t>
        </is>
      </c>
      <c r="BA2" s="30" t="inlineStr">
        <is>
          <t>Odds
Prior</t>
        </is>
      </c>
      <c r="BB2" s="30" t="inlineStr">
        <is>
          <t>Λ_Cred</t>
        </is>
      </c>
      <c r="BC2" s="30" t="inlineStr">
        <is>
          <t>Λ_Stmt</t>
        </is>
      </c>
      <c r="BD2" s="30" t="inlineStr">
        <is>
          <t>Λ_K</t>
        </is>
      </c>
      <c r="BE2" s="30" t="inlineStr">
        <is>
          <t>Λ_L</t>
        </is>
      </c>
      <c r="BF2" s="30" t="inlineStr">
        <is>
          <t>Λ_M</t>
        </is>
      </c>
      <c r="BG2" s="30" t="inlineStr">
        <is>
          <t>Odds
Final</t>
        </is>
      </c>
      <c r="BH2" s="31" t="inlineStr">
        <is>
          <t>T_abs
[OUTPUT]</t>
        </is>
      </c>
      <c r="BI2" s="32" t="inlineStr">
        <is>
          <t>Odds
T_abs</t>
        </is>
      </c>
      <c r="BJ2" s="32" t="inlineStr">
        <is>
          <t>Λ_Deliv</t>
        </is>
      </c>
      <c r="BK2" s="32" t="inlineStr">
        <is>
          <t>Λ_Sit</t>
        </is>
      </c>
      <c r="BL2" s="32" t="inlineStr">
        <is>
          <t>Λ_Recv</t>
        </is>
      </c>
      <c r="BM2" s="32" t="inlineStr">
        <is>
          <t>Odds
T_perc</t>
        </is>
      </c>
      <c r="BN2" s="33" t="inlineStr">
        <is>
          <t>T_perc
[OUTPUT]</t>
        </is>
      </c>
      <c r="BO2" s="34" t="inlineStr">
        <is>
          <t>Deliv
tilde</t>
        </is>
      </c>
      <c r="BP2" s="34" t="inlineStr">
        <is>
          <t>Sit
tilde</t>
        </is>
      </c>
      <c r="BQ2" s="34" t="inlineStr">
        <is>
          <t>N_imp
[FORMULA]</t>
        </is>
      </c>
      <c r="BR2" s="34" t="inlineStr">
        <is>
          <t>Recv_imp
raw</t>
        </is>
      </c>
      <c r="BS2" s="34" t="inlineStr">
        <is>
          <t>Recv
tilde</t>
        </is>
      </c>
      <c r="BT2" s="34" t="inlineStr">
        <is>
          <t>Odds
I prior</t>
        </is>
      </c>
      <c r="BU2" s="34" t="inlineStr">
        <is>
          <t>Λ_Deliv_I</t>
        </is>
      </c>
      <c r="BV2" s="34" t="inlineStr">
        <is>
          <t>Λ_Sit_I</t>
        </is>
      </c>
      <c r="BW2" s="34" t="inlineStr">
        <is>
          <t>Λ_Recv_I</t>
        </is>
      </c>
      <c r="BX2" s="34" t="inlineStr">
        <is>
          <t>Odds
I_context</t>
        </is>
      </c>
      <c r="BY2" s="34" t="inlineStr">
        <is>
          <t>I_context
[FORMULA]</t>
        </is>
      </c>
      <c r="BZ2" s="34" t="inlineStr">
        <is>
          <t>Λ_T
[FORMULA]</t>
        </is>
      </c>
      <c r="CA2" s="34" t="inlineStr">
        <is>
          <t>Odds
I_final</t>
        </is>
      </c>
      <c r="CB2" s="35" t="inlineStr">
        <is>
          <t>I
[OUTPUT]</t>
        </is>
      </c>
      <c r="CC2" s="36" t="inlineStr">
        <is>
          <t>T_abs
SUMMARY</t>
        </is>
      </c>
      <c r="CD2" s="36" t="inlineStr">
        <is>
          <t>T_perc
SUMMARY</t>
        </is>
      </c>
      <c r="CE2" s="36" t="inlineStr">
        <is>
          <t>I
SUMMARY</t>
        </is>
      </c>
      <c r="CF2" s="17" t="inlineStr">
        <is>
          <t>Notes / Variable Justification</t>
        </is>
      </c>
    </row>
    <row r="3" ht="40" customHeight="1">
      <c r="A3" s="37" t="n">
        <v>1</v>
      </c>
      <c r="B3" s="38" t="inlineStr">
        <is>
          <t>In many Moroccan public hospitals, patients are told to buy their own medicine from a pharmacy because the hospital has run out.</t>
        </is>
      </c>
      <c r="C3" s="37" t="inlineStr">
        <is>
          <t>Health</t>
        </is>
      </c>
      <c r="D3" s="39" t="n">
        <v>0.85</v>
      </c>
      <c r="E3" s="39" t="n">
        <v>0.85</v>
      </c>
      <c r="F3" s="39" t="n">
        <v>0.75</v>
      </c>
      <c r="G3" s="39" t="n">
        <v>0.82</v>
      </c>
      <c r="H3" s="40">
        <f>IFERROR(AVERAGE(D3,E3,F3,G3),"")</f>
        <v/>
      </c>
      <c r="I3" s="39" t="n">
        <v>0.7</v>
      </c>
      <c r="J3" s="39" t="n">
        <v>0.65</v>
      </c>
      <c r="K3" s="39" t="n">
        <v>0.7</v>
      </c>
      <c r="L3" s="39" t="n">
        <v>0.68</v>
      </c>
      <c r="M3" s="40">
        <f>IFERROR(AVERAGE(I3,J3,K3,L3),"")</f>
        <v/>
      </c>
      <c r="N3" s="39" t="n">
        <v>0.6</v>
      </c>
      <c r="O3" s="39" t="n">
        <v>0.8</v>
      </c>
      <c r="P3" s="40">
        <f>IFERROR(IF(H3=0,0,H3^(H3^(-0.5)))*SQRT(M3)*((4*N3+O3)/5),"")</f>
        <v/>
      </c>
      <c r="Q3" s="39" t="n">
        <v>0.3</v>
      </c>
      <c r="R3" s="39" t="n">
        <v>0.92</v>
      </c>
      <c r="S3" s="39" t="n">
        <v>0.88</v>
      </c>
      <c r="T3" s="39" t="n">
        <v>0.82</v>
      </c>
      <c r="U3" s="40">
        <f>IFERROR(((Q3^1.4+T3)/2)*R3*(1-EXP(-4.605*S3)),"")</f>
        <v/>
      </c>
      <c r="V3" s="39" t="n">
        <v>0.65</v>
      </c>
      <c r="W3" s="39" t="n">
        <v>0.7</v>
      </c>
      <c r="X3" s="39" t="n">
        <v>0.6</v>
      </c>
      <c r="Y3" s="39" t="n">
        <v>0.72</v>
      </c>
      <c r="Z3" s="39" t="n">
        <v>0.45</v>
      </c>
      <c r="AA3" s="39" t="n">
        <v>0.72</v>
      </c>
      <c r="AB3" s="40">
        <f>IFERROR(Z3*(Y3*AA3^1.1)^1.1*((3*V3+2*W3+X3)/6)^0.5,"")</f>
        <v/>
      </c>
      <c r="AC3" s="40">
        <f>IFERROR(SQRT(AB3),"")</f>
        <v/>
      </c>
      <c r="AD3" s="39" t="n">
        <v>0.7</v>
      </c>
      <c r="AE3" s="39" t="n">
        <v>0.4</v>
      </c>
      <c r="AF3" s="40">
        <f>IFERROR(AE3*(1-AE3*H3),"")</f>
        <v/>
      </c>
      <c r="AG3" s="39" t="n">
        <v>0.65</v>
      </c>
      <c r="AH3" s="39" t="n">
        <v>0.8</v>
      </c>
      <c r="AI3" s="39" t="n">
        <v>0.75</v>
      </c>
      <c r="AJ3" s="40">
        <f>IFERROR(AH3^2.1*AG3^0.2*(2*AF3+3*AI3+AD3)/6,"")</f>
        <v/>
      </c>
      <c r="AK3" s="40">
        <f>IFERROR(SQRT(AJ3),"")</f>
        <v/>
      </c>
      <c r="AL3" s="39" t="n">
        <v>0.2</v>
      </c>
      <c r="AM3" s="40">
        <f>IFERROR(1-EXP(-AL3),"")</f>
        <v/>
      </c>
      <c r="AN3" s="40">
        <f>IFERROR(4.18*AM3^0.7*(1-AM3)^1.5,"")</f>
        <v/>
      </c>
      <c r="AO3" s="39" t="n">
        <v>0.65</v>
      </c>
      <c r="AP3" s="39" t="n">
        <v>0.5</v>
      </c>
      <c r="AQ3" s="39" t="n">
        <v>0.65</v>
      </c>
      <c r="AR3" s="39" t="n">
        <v>0.85</v>
      </c>
      <c r="AS3" s="40">
        <f>IFERROR(AN3^(1-AO3)*AP3*(4*AQ3*(1-AQ3))*AR3^1.15,"")</f>
        <v/>
      </c>
      <c r="AT3" s="40">
        <f>IFERROR(AS3^(1/3),"")</f>
        <v/>
      </c>
      <c r="AU3" s="39" t="n">
        <v>1.8</v>
      </c>
      <c r="AV3" s="39" t="n">
        <v>3</v>
      </c>
      <c r="AW3" s="40">
        <f>IFERROR(IF(AV3&lt;=1,AU3,AU3*(1+(AV3-1)*0.6)),"")</f>
        <v/>
      </c>
      <c r="AX3" s="39" t="n">
        <v>0.85</v>
      </c>
      <c r="AY3" s="39" t="n">
        <v>0.4</v>
      </c>
      <c r="AZ3" s="41" t="n">
        <v>0.5</v>
      </c>
      <c r="BA3" s="40">
        <f>IFERROR(AZ3/(1-AZ3),"")</f>
        <v/>
      </c>
      <c r="BB3" s="40">
        <f>IFERROR(EXP((P3-0.301)/(0.301*(1-0.301))),"")</f>
        <v/>
      </c>
      <c r="BC3" s="40">
        <f>IFERROR(EXP((U3-0.354)/(0.354*(1-0.354))),"")</f>
        <v/>
      </c>
      <c r="BD3" s="40">
        <f>IFERROR(AW3,"")</f>
        <v/>
      </c>
      <c r="BE3" s="40">
        <f>IFERROR(EXP((AX3-0.75)/(0.75*(1-0.75))),"")</f>
        <v/>
      </c>
      <c r="BF3" s="40">
        <f>IFERROR(EXP((AY3-0.5)/(0.5*(1-0.5))),"")</f>
        <v/>
      </c>
      <c r="BG3" s="40">
        <f>IFERROR(BA3*BB3*BC3*BD3*BE3*BF3,"")</f>
        <v/>
      </c>
      <c r="BH3" s="40">
        <f>IFERROR(BG3/(1+BG3),"")</f>
        <v/>
      </c>
      <c r="BI3" s="40">
        <f>IFERROR(IF(BH3&gt;=1,1E9,BH3/(1-BH3)),"")</f>
        <v/>
      </c>
      <c r="BJ3" s="40">
        <f>IFERROR(EXP((AC3-0.372)/(0.372*(1-0.372))),"")</f>
        <v/>
      </c>
      <c r="BK3" s="40">
        <f>IFERROR(EXP((AK3-0.415)/(0.415*(1-0.415))),"")</f>
        <v/>
      </c>
      <c r="BL3" s="40">
        <f>IFERROR(EXP((AT3-0.405)/(0.405*(1-0.405))),"")</f>
        <v/>
      </c>
      <c r="BM3" s="40">
        <f>IFERROR(BI3*BJ3*BK3*BL3,"")</f>
        <v/>
      </c>
      <c r="BN3" s="40">
        <f>IFERROR(BM3/(1+BM3),"")</f>
        <v/>
      </c>
      <c r="BO3" s="40">
        <f>IFERROR(IF(AC3&gt;=1,0.999,1-EXP(1-(1-AC3)^(-0.8))),"")</f>
        <v/>
      </c>
      <c r="BP3" s="40">
        <f>IFERROR(IF(AK3&gt;=1,0.999,1-EXP(1-(1-AK3)^(-0.75))),"")</f>
        <v/>
      </c>
      <c r="BQ3" s="40">
        <f>IFERROR(1-EXP(-AL3*(1+AL3)),"")</f>
        <v/>
      </c>
      <c r="BR3" s="40">
        <f>IFERROR(BQ3^(1-AO3)*AP3*(4*AQ3*(1-AQ3))*AR3^1.15,"")</f>
        <v/>
      </c>
      <c r="BS3" s="40">
        <f>IFERROR(IF(BR3^(1/3)&gt;=1,0.999,1-EXP(1-(1-BR3^(1/3))^(-0.7))),"")</f>
        <v/>
      </c>
      <c r="BT3" s="40">
        <f>1</f>
        <v/>
      </c>
      <c r="BU3" s="40">
        <f>IFERROR(EXP((BO3-0.372)/(0.372*(1-0.372))),"")</f>
        <v/>
      </c>
      <c r="BV3" s="40">
        <f>IFERROR(EXP((BP3-0.415)/(0.415*(1-0.415))),"")</f>
        <v/>
      </c>
      <c r="BW3" s="40">
        <f>IFERROR(EXP((BS3-0.405)/(0.405*(1-0.405))),"")</f>
        <v/>
      </c>
      <c r="BX3" s="40">
        <f>IFERROR(BT3*BU3*BV3*BW3,"")</f>
        <v/>
      </c>
      <c r="BY3" s="40">
        <f>IFERROR(BX3/(1+BX3),"")</f>
        <v/>
      </c>
      <c r="BZ3" s="40">
        <f>IFERROR(EXP(0.15*(SQRT(BH3)-0.5)/(0.5*0.5)),"")</f>
        <v/>
      </c>
      <c r="CA3" s="40">
        <f>IFERROR(IF(BY3&gt;=1,1E9,BY3/(1-BY3)*BZ3),"")</f>
        <v/>
      </c>
      <c r="CB3" s="40">
        <f>IFERROR(CA3/(1+CA3),"")</f>
        <v/>
      </c>
      <c r="CC3" s="42">
        <f>BH3</f>
        <v/>
      </c>
      <c r="CD3" s="42">
        <f>BN3</f>
        <v/>
      </c>
      <c r="CE3" s="42">
        <f>CB3</f>
        <v/>
      </c>
      <c r="CF3" s="43" t="inlineStr">
        <is>
          <t>Lived experience. Very widely known. High personal consequence for health.</t>
        </is>
      </c>
    </row>
    <row r="4" ht="40" customHeight="1">
      <c r="A4" s="37" t="n">
        <v>2</v>
      </c>
      <c r="B4" s="38" t="inlineStr">
        <is>
          <t>Getting a specialist appointment in a Moroccan public hospital can take several months to over a year.</t>
        </is>
      </c>
      <c r="C4" s="37" t="inlineStr">
        <is>
          <t>Health</t>
        </is>
      </c>
      <c r="D4" s="39" t="n">
        <v>0.85</v>
      </c>
      <c r="E4" s="39" t="n">
        <v>0.85</v>
      </c>
      <c r="F4" s="39" t="n">
        <v>0.75</v>
      </c>
      <c r="G4" s="39" t="n">
        <v>0.82</v>
      </c>
      <c r="H4" s="40">
        <f>IFERROR(AVERAGE(D4,E4,F4,G4),"")</f>
        <v/>
      </c>
      <c r="I4" s="39" t="n">
        <v>0.7</v>
      </c>
      <c r="J4" s="39" t="n">
        <v>0.65</v>
      </c>
      <c r="K4" s="39" t="n">
        <v>0.7</v>
      </c>
      <c r="L4" s="39" t="n">
        <v>0.68</v>
      </c>
      <c r="M4" s="40">
        <f>IFERROR(AVERAGE(I4,J4,K4,L4),"")</f>
        <v/>
      </c>
      <c r="N4" s="39" t="n">
        <v>0.6</v>
      </c>
      <c r="O4" s="39" t="n">
        <v>0.75</v>
      </c>
      <c r="P4" s="40">
        <f>IFERROR(IF(H4=0,0,H4^(H4^(-0.5)))*SQRT(M4)*((4*N4+O4)/5),"")</f>
        <v/>
      </c>
      <c r="Q4" s="39" t="n">
        <v>0.3</v>
      </c>
      <c r="R4" s="39" t="n">
        <v>0.9</v>
      </c>
      <c r="S4" s="39" t="n">
        <v>0.85</v>
      </c>
      <c r="T4" s="39" t="n">
        <v>0.8</v>
      </c>
      <c r="U4" s="40">
        <f>IFERROR(((Q4^1.4+T4)/2)*R4*(1-EXP(-4.605*S4)),"")</f>
        <v/>
      </c>
      <c r="V4" s="39" t="n">
        <v>0.65</v>
      </c>
      <c r="W4" s="39" t="n">
        <v>0.7</v>
      </c>
      <c r="X4" s="39" t="n">
        <v>0.6</v>
      </c>
      <c r="Y4" s="39" t="n">
        <v>0.7</v>
      </c>
      <c r="Z4" s="39" t="n">
        <v>0.45</v>
      </c>
      <c r="AA4" s="39" t="n">
        <v>0.7</v>
      </c>
      <c r="AB4" s="40">
        <f>IFERROR(Z4*(Y4*AA4^1.1)^1.1*((3*V4+2*W4+X4)/6)^0.5,"")</f>
        <v/>
      </c>
      <c r="AC4" s="40">
        <f>IFERROR(SQRT(AB4),"")</f>
        <v/>
      </c>
      <c r="AD4" s="39" t="n">
        <v>0.68</v>
      </c>
      <c r="AE4" s="39" t="n">
        <v>0.35</v>
      </c>
      <c r="AF4" s="40">
        <f>IFERROR(AE4*(1-AE4*H4),"")</f>
        <v/>
      </c>
      <c r="AG4" s="39" t="n">
        <v>0.65</v>
      </c>
      <c r="AH4" s="39" t="n">
        <v>0.78</v>
      </c>
      <c r="AI4" s="39" t="n">
        <v>0.72</v>
      </c>
      <c r="AJ4" s="40">
        <f>IFERROR(AH4^2.1*AG4^0.2*(2*AF4+3*AI4+AD4)/6,"")</f>
        <v/>
      </c>
      <c r="AK4" s="40">
        <f>IFERROR(SQRT(AJ4),"")</f>
        <v/>
      </c>
      <c r="AL4" s="39" t="n">
        <v>0.25</v>
      </c>
      <c r="AM4" s="40">
        <f>IFERROR(1-EXP(-AL4),"")</f>
        <v/>
      </c>
      <c r="AN4" s="40">
        <f>IFERROR(4.18*AM4^0.7*(1-AM4)^1.5,"")</f>
        <v/>
      </c>
      <c r="AO4" s="39" t="n">
        <v>0.65</v>
      </c>
      <c r="AP4" s="39" t="n">
        <v>0.5</v>
      </c>
      <c r="AQ4" s="39" t="n">
        <v>0.65</v>
      </c>
      <c r="AR4" s="39" t="n">
        <v>0.82</v>
      </c>
      <c r="AS4" s="40">
        <f>IFERROR(AN4^(1-AO4)*AP4*(4*AQ4*(1-AQ4))*AR4^1.15,"")</f>
        <v/>
      </c>
      <c r="AT4" s="40">
        <f>IFERROR(AS4^(1/3),"")</f>
        <v/>
      </c>
      <c r="AU4" s="39" t="n">
        <v>1.7</v>
      </c>
      <c r="AV4" s="39" t="n">
        <v>3</v>
      </c>
      <c r="AW4" s="40">
        <f>IFERROR(IF(AV4&lt;=1,AU4,AU4*(1+(AV4-1)*0.6)),"")</f>
        <v/>
      </c>
      <c r="AX4" s="39" t="n">
        <v>0.85</v>
      </c>
      <c r="AY4" s="39" t="n">
        <v>0.35</v>
      </c>
      <c r="AZ4" s="41" t="n">
        <v>0.5</v>
      </c>
      <c r="BA4" s="40">
        <f>IFERROR(AZ4/(1-AZ4),"")</f>
        <v/>
      </c>
      <c r="BB4" s="40">
        <f>IFERROR(EXP((P4-0.301)/(0.301*(1-0.301))),"")</f>
        <v/>
      </c>
      <c r="BC4" s="40">
        <f>IFERROR(EXP((U4-0.354)/(0.354*(1-0.354))),"")</f>
        <v/>
      </c>
      <c r="BD4" s="40">
        <f>IFERROR(AW4,"")</f>
        <v/>
      </c>
      <c r="BE4" s="40">
        <f>IFERROR(EXP((AX4-0.75)/(0.75*(1-0.75))),"")</f>
        <v/>
      </c>
      <c r="BF4" s="40">
        <f>IFERROR(EXP((AY4-0.5)/(0.5*(1-0.5))),"")</f>
        <v/>
      </c>
      <c r="BG4" s="40">
        <f>IFERROR(BA4*BB4*BC4*BD4*BE4*BF4,"")</f>
        <v/>
      </c>
      <c r="BH4" s="40">
        <f>IFERROR(BG4/(1+BG4),"")</f>
        <v/>
      </c>
      <c r="BI4" s="40">
        <f>IFERROR(IF(BH4&gt;=1,1E9,BH4/(1-BH4)),"")</f>
        <v/>
      </c>
      <c r="BJ4" s="40">
        <f>IFERROR(EXP((AC4-0.372)/(0.372*(1-0.372))),"")</f>
        <v/>
      </c>
      <c r="BK4" s="40">
        <f>IFERROR(EXP((AK4-0.415)/(0.415*(1-0.415))),"")</f>
        <v/>
      </c>
      <c r="BL4" s="40">
        <f>IFERROR(EXP((AT4-0.405)/(0.405*(1-0.405))),"")</f>
        <v/>
      </c>
      <c r="BM4" s="40">
        <f>IFERROR(BI4*BJ4*BK4*BL4,"")</f>
        <v/>
      </c>
      <c r="BN4" s="40">
        <f>IFERROR(BM4/(1+BM4),"")</f>
        <v/>
      </c>
      <c r="BO4" s="40">
        <f>IFERROR(IF(AC4&gt;=1,0.999,1-EXP(1-(1-AC4)^(-0.8))),"")</f>
        <v/>
      </c>
      <c r="BP4" s="40">
        <f>IFERROR(IF(AK4&gt;=1,0.999,1-EXP(1-(1-AK4)^(-0.75))),"")</f>
        <v/>
      </c>
      <c r="BQ4" s="40">
        <f>IFERROR(1-EXP(-AL4*(1+AL4)),"")</f>
        <v/>
      </c>
      <c r="BR4" s="40">
        <f>IFERROR(BQ4^(1-AO4)*AP4*(4*AQ4*(1-AQ4))*AR4^1.15,"")</f>
        <v/>
      </c>
      <c r="BS4" s="40">
        <f>IFERROR(IF(BR4^(1/3)&gt;=1,0.999,1-EXP(1-(1-BR4^(1/3))^(-0.7))),"")</f>
        <v/>
      </c>
      <c r="BT4" s="40">
        <f>1</f>
        <v/>
      </c>
      <c r="BU4" s="40">
        <f>IFERROR(EXP((BO4-0.372)/(0.372*(1-0.372))),"")</f>
        <v/>
      </c>
      <c r="BV4" s="40">
        <f>IFERROR(EXP((BP4-0.415)/(0.415*(1-0.415))),"")</f>
        <v/>
      </c>
      <c r="BW4" s="40">
        <f>IFERROR(EXP((BS4-0.405)/(0.405*(1-0.405))),"")</f>
        <v/>
      </c>
      <c r="BX4" s="40">
        <f>IFERROR(BT4*BU4*BV4*BW4,"")</f>
        <v/>
      </c>
      <c r="BY4" s="40">
        <f>IFERROR(BX4/(1+BX4),"")</f>
        <v/>
      </c>
      <c r="BZ4" s="40">
        <f>IFERROR(EXP(0.15*(SQRT(BH4)-0.5)/(0.5*0.5)),"")</f>
        <v/>
      </c>
      <c r="CA4" s="40">
        <f>IFERROR(IF(BY4&gt;=1,1E9,BY4/(1-BY4)*BZ4),"")</f>
        <v/>
      </c>
      <c r="CB4" s="40">
        <f>IFERROR(CA4/(1+CA4),"")</f>
        <v/>
      </c>
      <c r="CC4" s="42">
        <f>BH4</f>
        <v/>
      </c>
      <c r="CD4" s="42">
        <f>BN4</f>
        <v/>
      </c>
      <c r="CE4" s="42">
        <f>CB4</f>
        <v/>
      </c>
      <c r="CF4" s="43" t="inlineStr">
        <is>
          <t>Widely known from personal/family experience. High frustration context.</t>
        </is>
      </c>
    </row>
    <row r="5" ht="40" customHeight="1">
      <c r="A5" s="37" t="n">
        <v>3</v>
      </c>
      <c r="B5" s="38" t="inlineStr">
        <is>
          <t>The quality of care you receive in a Moroccan hospital depends more on who you know than on your medical card.</t>
        </is>
      </c>
      <c r="C5" s="37" t="inlineStr">
        <is>
          <t>Health</t>
        </is>
      </c>
      <c r="D5" s="39" t="n">
        <v>0.82</v>
      </c>
      <c r="E5" s="39" t="n">
        <v>0.82</v>
      </c>
      <c r="F5" s="39" t="n">
        <v>0.72</v>
      </c>
      <c r="G5" s="39" t="n">
        <v>0.8</v>
      </c>
      <c r="H5" s="40">
        <f>IFERROR(AVERAGE(D5,E5,F5,G5),"")</f>
        <v/>
      </c>
      <c r="I5" s="39" t="n">
        <v>0.68</v>
      </c>
      <c r="J5" s="39" t="n">
        <v>0.63</v>
      </c>
      <c r="K5" s="39" t="n">
        <v>0.68</v>
      </c>
      <c r="L5" s="39" t="n">
        <v>0.65</v>
      </c>
      <c r="M5" s="40">
        <f>IFERROR(AVERAGE(I5,J5,K5,L5),"")</f>
        <v/>
      </c>
      <c r="N5" s="39" t="n">
        <v>0.55</v>
      </c>
      <c r="O5" s="39" t="n">
        <v>0.72</v>
      </c>
      <c r="P5" s="40">
        <f>IFERROR(IF(H5=0,0,H5^(H5^(-0.5)))*SQRT(M5)*((4*N5+O5)/5),"")</f>
        <v/>
      </c>
      <c r="Q5" s="39" t="n">
        <v>0.4</v>
      </c>
      <c r="R5" s="39" t="n">
        <v>0.85</v>
      </c>
      <c r="S5" s="39" t="n">
        <v>0.8</v>
      </c>
      <c r="T5" s="39" t="n">
        <v>0.78</v>
      </c>
      <c r="U5" s="40">
        <f>IFERROR(((Q5^1.4+T5)/2)*R5*(1-EXP(-4.605*S5)),"")</f>
        <v/>
      </c>
      <c r="V5" s="39" t="n">
        <v>0.65</v>
      </c>
      <c r="W5" s="39" t="n">
        <v>0.68</v>
      </c>
      <c r="X5" s="39" t="n">
        <v>0.6</v>
      </c>
      <c r="Y5" s="39" t="n">
        <v>0.7</v>
      </c>
      <c r="Z5" s="39" t="n">
        <v>0.45</v>
      </c>
      <c r="AA5" s="39" t="n">
        <v>0.7</v>
      </c>
      <c r="AB5" s="40">
        <f>IFERROR(Z5*(Y5*AA5^1.1)^1.1*((3*V5+2*W5+X5)/6)^0.5,"")</f>
        <v/>
      </c>
      <c r="AC5" s="40">
        <f>IFERROR(SQRT(AB5),"")</f>
        <v/>
      </c>
      <c r="AD5" s="39" t="n">
        <v>0.65</v>
      </c>
      <c r="AE5" s="39" t="n">
        <v>0.35</v>
      </c>
      <c r="AF5" s="40">
        <f>IFERROR(AE5*(1-AE5*H5),"")</f>
        <v/>
      </c>
      <c r="AG5" s="39" t="n">
        <v>0.62</v>
      </c>
      <c r="AH5" s="39" t="n">
        <v>0.72</v>
      </c>
      <c r="AI5" s="39" t="n">
        <v>0.7</v>
      </c>
      <c r="AJ5" s="40">
        <f>IFERROR(AH5^2.1*AG5^0.2*(2*AF5+3*AI5+AD5)/6,"")</f>
        <v/>
      </c>
      <c r="AK5" s="40">
        <f>IFERROR(SQRT(AJ5),"")</f>
        <v/>
      </c>
      <c r="AL5" s="39" t="n">
        <v>0.35</v>
      </c>
      <c r="AM5" s="40">
        <f>IFERROR(1-EXP(-AL5),"")</f>
        <v/>
      </c>
      <c r="AN5" s="40">
        <f>IFERROR(4.18*AM5^0.7*(1-AM5)^1.5,"")</f>
        <v/>
      </c>
      <c r="AO5" s="39" t="n">
        <v>0.65</v>
      </c>
      <c r="AP5" s="39" t="n">
        <v>0.5</v>
      </c>
      <c r="AQ5" s="39" t="n">
        <v>0.6</v>
      </c>
      <c r="AR5" s="39" t="n">
        <v>0.8</v>
      </c>
      <c r="AS5" s="40">
        <f>IFERROR(AN5^(1-AO5)*AP5*(4*AQ5*(1-AQ5))*AR5^1.15,"")</f>
        <v/>
      </c>
      <c r="AT5" s="40">
        <f>IFERROR(AS5^(1/3),"")</f>
        <v/>
      </c>
      <c r="AU5" s="39" t="n">
        <v>1.5</v>
      </c>
      <c r="AV5" s="39" t="n">
        <v>2</v>
      </c>
      <c r="AW5" s="40">
        <f>IFERROR(IF(AV5&lt;=1,AU5,AU5*(1+(AV5-1)*0.6)),"")</f>
        <v/>
      </c>
      <c r="AX5" s="39" t="n">
        <v>0.8</v>
      </c>
      <c r="AY5" s="39" t="n">
        <v>0.3</v>
      </c>
      <c r="AZ5" s="41" t="n">
        <v>0.5</v>
      </c>
      <c r="BA5" s="40">
        <f>IFERROR(AZ5/(1-AZ5),"")</f>
        <v/>
      </c>
      <c r="BB5" s="40">
        <f>IFERROR(EXP((P5-0.301)/(0.301*(1-0.301))),"")</f>
        <v/>
      </c>
      <c r="BC5" s="40">
        <f>IFERROR(EXP((U5-0.354)/(0.354*(1-0.354))),"")</f>
        <v/>
      </c>
      <c r="BD5" s="40">
        <f>IFERROR(AW5,"")</f>
        <v/>
      </c>
      <c r="BE5" s="40">
        <f>IFERROR(EXP((AX5-0.75)/(0.75*(1-0.75))),"")</f>
        <v/>
      </c>
      <c r="BF5" s="40">
        <f>IFERROR(EXP((AY5-0.5)/(0.5*(1-0.5))),"")</f>
        <v/>
      </c>
      <c r="BG5" s="40">
        <f>IFERROR(BA5*BB5*BC5*BD5*BE5*BF5,"")</f>
        <v/>
      </c>
      <c r="BH5" s="40">
        <f>IFERROR(BG5/(1+BG5),"")</f>
        <v/>
      </c>
      <c r="BI5" s="40">
        <f>IFERROR(IF(BH5&gt;=1,1E9,BH5/(1-BH5)),"")</f>
        <v/>
      </c>
      <c r="BJ5" s="40">
        <f>IFERROR(EXP((AC5-0.372)/(0.372*(1-0.372))),"")</f>
        <v/>
      </c>
      <c r="BK5" s="40">
        <f>IFERROR(EXP((AK5-0.415)/(0.415*(1-0.415))),"")</f>
        <v/>
      </c>
      <c r="BL5" s="40">
        <f>IFERROR(EXP((AT5-0.405)/(0.405*(1-0.405))),"")</f>
        <v/>
      </c>
      <c r="BM5" s="40">
        <f>IFERROR(BI5*BJ5*BK5*BL5,"")</f>
        <v/>
      </c>
      <c r="BN5" s="40">
        <f>IFERROR(BM5/(1+BM5),"")</f>
        <v/>
      </c>
      <c r="BO5" s="40">
        <f>IFERROR(IF(AC5&gt;=1,0.999,1-EXP(1-(1-AC5)^(-0.8))),"")</f>
        <v/>
      </c>
      <c r="BP5" s="40">
        <f>IFERROR(IF(AK5&gt;=1,0.999,1-EXP(1-(1-AK5)^(-0.75))),"")</f>
        <v/>
      </c>
      <c r="BQ5" s="40">
        <f>IFERROR(1-EXP(-AL5*(1+AL5)),"")</f>
        <v/>
      </c>
      <c r="BR5" s="40">
        <f>IFERROR(BQ5^(1-AO5)*AP5*(4*AQ5*(1-AQ5))*AR5^1.15,"")</f>
        <v/>
      </c>
      <c r="BS5" s="40">
        <f>IFERROR(IF(BR5^(1/3)&gt;=1,0.999,1-EXP(1-(1-BR5^(1/3))^(-0.7))),"")</f>
        <v/>
      </c>
      <c r="BT5" s="40">
        <f>1</f>
        <v/>
      </c>
      <c r="BU5" s="40">
        <f>IFERROR(EXP((BO5-0.372)/(0.372*(1-0.372))),"")</f>
        <v/>
      </c>
      <c r="BV5" s="40">
        <f>IFERROR(EXP((BP5-0.415)/(0.415*(1-0.415))),"")</f>
        <v/>
      </c>
      <c r="BW5" s="40">
        <f>IFERROR(EXP((BS5-0.405)/(0.405*(1-0.405))),"")</f>
        <v/>
      </c>
      <c r="BX5" s="40">
        <f>IFERROR(BT5*BU5*BV5*BW5,"")</f>
        <v/>
      </c>
      <c r="BY5" s="40">
        <f>IFERROR(BX5/(1+BX5),"")</f>
        <v/>
      </c>
      <c r="BZ5" s="40">
        <f>IFERROR(EXP(0.15*(SQRT(BH5)-0.5)/(0.5*0.5)),"")</f>
        <v/>
      </c>
      <c r="CA5" s="40">
        <f>IFERROR(IF(BY5&gt;=1,1E9,BY5/(1-BY5)*BZ5),"")</f>
        <v/>
      </c>
      <c r="CB5" s="40">
        <f>IFERROR(CA5/(1+CA5),"")</f>
        <v/>
      </c>
      <c r="CC5" s="42">
        <f>BH5</f>
        <v/>
      </c>
      <c r="CD5" s="42">
        <f>BN5</f>
        <v/>
      </c>
      <c r="CE5" s="42">
        <f>CB5</f>
        <v/>
      </c>
      <c r="CF5" s="43" t="inlineStr">
        <is>
          <t>Widely believed. Decent opposition - some deny systemic nature.</t>
        </is>
      </c>
    </row>
    <row r="6" ht="40" customHeight="1">
      <c r="A6" s="37" t="n">
        <v>4</v>
      </c>
      <c r="B6" s="38" t="inlineStr">
        <is>
          <t>There are regions in Morocco where reaching the nearest doctor means a long, difficult trip, not a quick visit.</t>
        </is>
      </c>
      <c r="C6" s="37" t="inlineStr">
        <is>
          <t>Health</t>
        </is>
      </c>
      <c r="D6" s="39" t="n">
        <v>0.85</v>
      </c>
      <c r="E6" s="39" t="n">
        <v>0.85</v>
      </c>
      <c r="F6" s="39" t="n">
        <v>0.75</v>
      </c>
      <c r="G6" s="39" t="n">
        <v>0.82</v>
      </c>
      <c r="H6" s="40">
        <f>IFERROR(AVERAGE(D6,E6,F6,G6),"")</f>
        <v/>
      </c>
      <c r="I6" s="39" t="n">
        <v>0.68</v>
      </c>
      <c r="J6" s="39" t="n">
        <v>0.65</v>
      </c>
      <c r="K6" s="39" t="n">
        <v>0.68</v>
      </c>
      <c r="L6" s="39" t="n">
        <v>0.65</v>
      </c>
      <c r="M6" s="40">
        <f>IFERROR(AVERAGE(I6,J6,K6,L6),"")</f>
        <v/>
      </c>
      <c r="N6" s="39" t="n">
        <v>0.58</v>
      </c>
      <c r="O6" s="39" t="n">
        <v>0.72</v>
      </c>
      <c r="P6" s="40">
        <f>IFERROR(IF(H6=0,0,H6^(H6^(-0.5)))*SQRT(M6)*((4*N6+O6)/5),"")</f>
        <v/>
      </c>
      <c r="Q6" s="39" t="n">
        <v>0.35</v>
      </c>
      <c r="R6" s="39" t="n">
        <v>0.9</v>
      </c>
      <c r="S6" s="39" t="n">
        <v>0.85</v>
      </c>
      <c r="T6" s="39" t="n">
        <v>0.78</v>
      </c>
      <c r="U6" s="40">
        <f>IFERROR(((Q6^1.4+T6)/2)*R6*(1-EXP(-4.605*S6)),"")</f>
        <v/>
      </c>
      <c r="V6" s="39" t="n">
        <v>0.62</v>
      </c>
      <c r="W6" s="39" t="n">
        <v>0.68</v>
      </c>
      <c r="X6" s="39" t="n">
        <v>0.6</v>
      </c>
      <c r="Y6" s="39" t="n">
        <v>0.68</v>
      </c>
      <c r="Z6" s="39" t="n">
        <v>0.45</v>
      </c>
      <c r="AA6" s="39" t="n">
        <v>0.68</v>
      </c>
      <c r="AB6" s="40">
        <f>IFERROR(Z6*(Y6*AA6^1.1)^1.1*((3*V6+2*W6+X6)/6)^0.5,"")</f>
        <v/>
      </c>
      <c r="AC6" s="40">
        <f>IFERROR(SQRT(AB6),"")</f>
        <v/>
      </c>
      <c r="AD6" s="39" t="n">
        <v>0.62</v>
      </c>
      <c r="AE6" s="39" t="n">
        <v>0.32</v>
      </c>
      <c r="AF6" s="40">
        <f>IFERROR(AE6*(1-AE6*H6),"")</f>
        <v/>
      </c>
      <c r="AG6" s="39" t="n">
        <v>0.6</v>
      </c>
      <c r="AH6" s="39" t="n">
        <v>0.82</v>
      </c>
      <c r="AI6" s="39" t="n">
        <v>0.68</v>
      </c>
      <c r="AJ6" s="40">
        <f>IFERROR(AH6^2.1*AG6^0.2*(2*AF6+3*AI6+AD6)/6,"")</f>
        <v/>
      </c>
      <c r="AK6" s="40">
        <f>IFERROR(SQRT(AJ6),"")</f>
        <v/>
      </c>
      <c r="AL6" s="39" t="n">
        <v>0.5</v>
      </c>
      <c r="AM6" s="40">
        <f>IFERROR(1-EXP(-AL6),"")</f>
        <v/>
      </c>
      <c r="AN6" s="40">
        <f>IFERROR(4.18*AM6^0.7*(1-AM6)^1.5,"")</f>
        <v/>
      </c>
      <c r="AO6" s="39" t="n">
        <v>0.6</v>
      </c>
      <c r="AP6" s="39" t="n">
        <v>0.45</v>
      </c>
      <c r="AQ6" s="39" t="n">
        <v>0.55</v>
      </c>
      <c r="AR6" s="39" t="n">
        <v>0.55</v>
      </c>
      <c r="AS6" s="40">
        <f>IFERROR(AN6^(1-AO6)*AP6*(4*AQ6*(1-AQ6))*AR6^1.15,"")</f>
        <v/>
      </c>
      <c r="AT6" s="40">
        <f>IFERROR(AS6^(1/3),"")</f>
        <v/>
      </c>
      <c r="AU6" s="39" t="n">
        <v>1.6</v>
      </c>
      <c r="AV6" s="39" t="n">
        <v>2</v>
      </c>
      <c r="AW6" s="40">
        <f>IFERROR(IF(AV6&lt;=1,AU6,AU6*(1+(AV6-1)*0.6)),"")</f>
        <v/>
      </c>
      <c r="AX6" s="39" t="n">
        <v>0.88</v>
      </c>
      <c r="AY6" s="39" t="n">
        <v>0.35</v>
      </c>
      <c r="AZ6" s="41" t="n">
        <v>0.5</v>
      </c>
      <c r="BA6" s="40">
        <f>IFERROR(AZ6/(1-AZ6),"")</f>
        <v/>
      </c>
      <c r="BB6" s="40">
        <f>IFERROR(EXP((P6-0.301)/(0.301*(1-0.301))),"")</f>
        <v/>
      </c>
      <c r="BC6" s="40">
        <f>IFERROR(EXP((U6-0.354)/(0.354*(1-0.354))),"")</f>
        <v/>
      </c>
      <c r="BD6" s="40">
        <f>IFERROR(AW6,"")</f>
        <v/>
      </c>
      <c r="BE6" s="40">
        <f>IFERROR(EXP((AX6-0.75)/(0.75*(1-0.75))),"")</f>
        <v/>
      </c>
      <c r="BF6" s="40">
        <f>IFERROR(EXP((AY6-0.5)/(0.5*(1-0.5))),"")</f>
        <v/>
      </c>
      <c r="BG6" s="40">
        <f>IFERROR(BA6*BB6*BC6*BD6*BE6*BF6,"")</f>
        <v/>
      </c>
      <c r="BH6" s="40">
        <f>IFERROR(BG6/(1+BG6),"")</f>
        <v/>
      </c>
      <c r="BI6" s="40">
        <f>IFERROR(IF(BH6&gt;=1,1E9,BH6/(1-BH6)),"")</f>
        <v/>
      </c>
      <c r="BJ6" s="40">
        <f>IFERROR(EXP((AC6-0.372)/(0.372*(1-0.372))),"")</f>
        <v/>
      </c>
      <c r="BK6" s="40">
        <f>IFERROR(EXP((AK6-0.415)/(0.415*(1-0.415))),"")</f>
        <v/>
      </c>
      <c r="BL6" s="40">
        <f>IFERROR(EXP((AT6-0.405)/(0.405*(1-0.405))),"")</f>
        <v/>
      </c>
      <c r="BM6" s="40">
        <f>IFERROR(BI6*BJ6*BK6*BL6,"")</f>
        <v/>
      </c>
      <c r="BN6" s="40">
        <f>IFERROR(BM6/(1+BM6),"")</f>
        <v/>
      </c>
      <c r="BO6" s="40">
        <f>IFERROR(IF(AC6&gt;=1,0.999,1-EXP(1-(1-AC6)^(-0.8))),"")</f>
        <v/>
      </c>
      <c r="BP6" s="40">
        <f>IFERROR(IF(AK6&gt;=1,0.999,1-EXP(1-(1-AK6)^(-0.75))),"")</f>
        <v/>
      </c>
      <c r="BQ6" s="40">
        <f>IFERROR(1-EXP(-AL6*(1+AL6)),"")</f>
        <v/>
      </c>
      <c r="BR6" s="40">
        <f>IFERROR(BQ6^(1-AO6)*AP6*(4*AQ6*(1-AQ6))*AR6^1.15,"")</f>
        <v/>
      </c>
      <c r="BS6" s="40">
        <f>IFERROR(IF(BR6^(1/3)&gt;=1,0.999,1-EXP(1-(1-BR6^(1/3))^(-0.7))),"")</f>
        <v/>
      </c>
      <c r="BT6" s="40">
        <f>1</f>
        <v/>
      </c>
      <c r="BU6" s="40">
        <f>IFERROR(EXP((BO6-0.372)/(0.372*(1-0.372))),"")</f>
        <v/>
      </c>
      <c r="BV6" s="40">
        <f>IFERROR(EXP((BP6-0.415)/(0.415*(1-0.415))),"")</f>
        <v/>
      </c>
      <c r="BW6" s="40">
        <f>IFERROR(EXP((BS6-0.405)/(0.405*(1-0.405))),"")</f>
        <v/>
      </c>
      <c r="BX6" s="40">
        <f>IFERROR(BT6*BU6*BV6*BW6,"")</f>
        <v/>
      </c>
      <c r="BY6" s="40">
        <f>IFERROR(BX6/(1+BX6),"")</f>
        <v/>
      </c>
      <c r="BZ6" s="40">
        <f>IFERROR(EXP(0.15*(SQRT(BH6)-0.5)/(0.5*0.5)),"")</f>
        <v/>
      </c>
      <c r="CA6" s="40">
        <f>IFERROR(IF(BY6&gt;=1,1E9,BY6/(1-BY6)*BZ6),"")</f>
        <v/>
      </c>
      <c r="CB6" s="40">
        <f>IFERROR(CA6/(1+CA6),"")</f>
        <v/>
      </c>
      <c r="CC6" s="42">
        <f>BH6</f>
        <v/>
      </c>
      <c r="CD6" s="42">
        <f>BN6</f>
        <v/>
      </c>
      <c r="CE6" s="42">
        <f>CB6</f>
        <v/>
      </c>
      <c r="CF6" s="43" t="inlineStr">
        <is>
          <t>Known fact. Less personally salient for urban Fes receiver.</t>
        </is>
      </c>
    </row>
    <row r="7" ht="40" customHeight="1">
      <c r="A7" s="37" t="n">
        <v>5</v>
      </c>
      <c r="B7" s="38" t="inlineStr">
        <is>
          <t>A doctor in a Moroccan public hospital sees so many patients per day that each consultation gets rushed down to just a few minutes.</t>
        </is>
      </c>
      <c r="C7" s="37" t="inlineStr">
        <is>
          <t>Health</t>
        </is>
      </c>
      <c r="D7" s="39" t="n">
        <v>0.85</v>
      </c>
      <c r="E7" s="39" t="n">
        <v>0.85</v>
      </c>
      <c r="F7" s="39" t="n">
        <v>0.75</v>
      </c>
      <c r="G7" s="39" t="n">
        <v>0.82</v>
      </c>
      <c r="H7" s="40">
        <f>IFERROR(AVERAGE(D7,E7,F7,G7),"")</f>
        <v/>
      </c>
      <c r="I7" s="39" t="n">
        <v>0.7</v>
      </c>
      <c r="J7" s="39" t="n">
        <v>0.65</v>
      </c>
      <c r="K7" s="39" t="n">
        <v>0.7</v>
      </c>
      <c r="L7" s="39" t="n">
        <v>0.68</v>
      </c>
      <c r="M7" s="40">
        <f>IFERROR(AVERAGE(I7,J7,K7,L7),"")</f>
        <v/>
      </c>
      <c r="N7" s="39" t="n">
        <v>0.6</v>
      </c>
      <c r="O7" s="39" t="n">
        <v>0.8</v>
      </c>
      <c r="P7" s="40">
        <f>IFERROR(IF(H7=0,0,H7^(H7^(-0.5)))*SQRT(M7)*((4*N7+O7)/5),"")</f>
        <v/>
      </c>
      <c r="Q7" s="39" t="n">
        <v>0.3</v>
      </c>
      <c r="R7" s="39" t="n">
        <v>0.92</v>
      </c>
      <c r="S7" s="39" t="n">
        <v>0.88</v>
      </c>
      <c r="T7" s="39" t="n">
        <v>0.82</v>
      </c>
      <c r="U7" s="40">
        <f>IFERROR(((Q7^1.4+T7)/2)*R7*(1-EXP(-4.605*S7)),"")</f>
        <v/>
      </c>
      <c r="V7" s="39" t="n">
        <v>0.65</v>
      </c>
      <c r="W7" s="39" t="n">
        <v>0.7</v>
      </c>
      <c r="X7" s="39" t="n">
        <v>0.6</v>
      </c>
      <c r="Y7" s="39" t="n">
        <v>0.72</v>
      </c>
      <c r="Z7" s="39" t="n">
        <v>0.45</v>
      </c>
      <c r="AA7" s="39" t="n">
        <v>0.72</v>
      </c>
      <c r="AB7" s="40">
        <f>IFERROR(Z7*(Y7*AA7^1.1)^1.1*((3*V7+2*W7+X7)/6)^0.5,"")</f>
        <v/>
      </c>
      <c r="AC7" s="40">
        <f>IFERROR(SQRT(AB7),"")</f>
        <v/>
      </c>
      <c r="AD7" s="39" t="n">
        <v>0.7</v>
      </c>
      <c r="AE7" s="39" t="n">
        <v>0.38</v>
      </c>
      <c r="AF7" s="40">
        <f>IFERROR(AE7*(1-AE7*H7),"")</f>
        <v/>
      </c>
      <c r="AG7" s="39" t="n">
        <v>0.65</v>
      </c>
      <c r="AH7" s="39" t="n">
        <v>0.78</v>
      </c>
      <c r="AI7" s="39" t="n">
        <v>0.72</v>
      </c>
      <c r="AJ7" s="40">
        <f>IFERROR(AH7^2.1*AG7^0.2*(2*AF7+3*AI7+AD7)/6,"")</f>
        <v/>
      </c>
      <c r="AK7" s="40">
        <f>IFERROR(SQRT(AJ7),"")</f>
        <v/>
      </c>
      <c r="AL7" s="39" t="n">
        <v>0.2</v>
      </c>
      <c r="AM7" s="40">
        <f>IFERROR(1-EXP(-AL7),"")</f>
        <v/>
      </c>
      <c r="AN7" s="40">
        <f>IFERROR(4.18*AM7^0.7*(1-AM7)^1.5,"")</f>
        <v/>
      </c>
      <c r="AO7" s="39" t="n">
        <v>0.65</v>
      </c>
      <c r="AP7" s="39" t="n">
        <v>0.5</v>
      </c>
      <c r="AQ7" s="39" t="n">
        <v>0.65</v>
      </c>
      <c r="AR7" s="39" t="n">
        <v>0.82</v>
      </c>
      <c r="AS7" s="40">
        <f>IFERROR(AN7^(1-AO7)*AP7*(4*AQ7*(1-AQ7))*AR7^1.15,"")</f>
        <v/>
      </c>
      <c r="AT7" s="40">
        <f>IFERROR(AS7^(1/3),"")</f>
        <v/>
      </c>
      <c r="AU7" s="39" t="n">
        <v>1.7</v>
      </c>
      <c r="AV7" s="39" t="n">
        <v>2</v>
      </c>
      <c r="AW7" s="40">
        <f>IFERROR(IF(AV7&lt;=1,AU7,AU7*(1+(AV7-1)*0.6)),"")</f>
        <v/>
      </c>
      <c r="AX7" s="39" t="n">
        <v>0.85</v>
      </c>
      <c r="AY7" s="39" t="n">
        <v>0.35</v>
      </c>
      <c r="AZ7" s="41" t="n">
        <v>0.5</v>
      </c>
      <c r="BA7" s="40">
        <f>IFERROR(AZ7/(1-AZ7),"")</f>
        <v/>
      </c>
      <c r="BB7" s="40">
        <f>IFERROR(EXP((P7-0.301)/(0.301*(1-0.301))),"")</f>
        <v/>
      </c>
      <c r="BC7" s="40">
        <f>IFERROR(EXP((U7-0.354)/(0.354*(1-0.354))),"")</f>
        <v/>
      </c>
      <c r="BD7" s="40">
        <f>IFERROR(AW7,"")</f>
        <v/>
      </c>
      <c r="BE7" s="40">
        <f>IFERROR(EXP((AX7-0.75)/(0.75*(1-0.75))),"")</f>
        <v/>
      </c>
      <c r="BF7" s="40">
        <f>IFERROR(EXP((AY7-0.5)/(0.5*(1-0.5))),"")</f>
        <v/>
      </c>
      <c r="BG7" s="40">
        <f>IFERROR(BA7*BB7*BC7*BD7*BE7*BF7,"")</f>
        <v/>
      </c>
      <c r="BH7" s="40">
        <f>IFERROR(BG7/(1+BG7),"")</f>
        <v/>
      </c>
      <c r="BI7" s="40">
        <f>IFERROR(IF(BH7&gt;=1,1E9,BH7/(1-BH7)),"")</f>
        <v/>
      </c>
      <c r="BJ7" s="40">
        <f>IFERROR(EXP((AC7-0.372)/(0.372*(1-0.372))),"")</f>
        <v/>
      </c>
      <c r="BK7" s="40">
        <f>IFERROR(EXP((AK7-0.415)/(0.415*(1-0.415))),"")</f>
        <v/>
      </c>
      <c r="BL7" s="40">
        <f>IFERROR(EXP((AT7-0.405)/(0.405*(1-0.405))),"")</f>
        <v/>
      </c>
      <c r="BM7" s="40">
        <f>IFERROR(BI7*BJ7*BK7*BL7,"")</f>
        <v/>
      </c>
      <c r="BN7" s="40">
        <f>IFERROR(BM7/(1+BM7),"")</f>
        <v/>
      </c>
      <c r="BO7" s="40">
        <f>IFERROR(IF(AC7&gt;=1,0.999,1-EXP(1-(1-AC7)^(-0.8))),"")</f>
        <v/>
      </c>
      <c r="BP7" s="40">
        <f>IFERROR(IF(AK7&gt;=1,0.999,1-EXP(1-(1-AK7)^(-0.75))),"")</f>
        <v/>
      </c>
      <c r="BQ7" s="40">
        <f>IFERROR(1-EXP(-AL7*(1+AL7)),"")</f>
        <v/>
      </c>
      <c r="BR7" s="40">
        <f>IFERROR(BQ7^(1-AO7)*AP7*(4*AQ7*(1-AQ7))*AR7^1.15,"")</f>
        <v/>
      </c>
      <c r="BS7" s="40">
        <f>IFERROR(IF(BR7^(1/3)&gt;=1,0.999,1-EXP(1-(1-BR7^(1/3))^(-0.7))),"")</f>
        <v/>
      </c>
      <c r="BT7" s="40">
        <f>1</f>
        <v/>
      </c>
      <c r="BU7" s="40">
        <f>IFERROR(EXP((BO7-0.372)/(0.372*(1-0.372))),"")</f>
        <v/>
      </c>
      <c r="BV7" s="40">
        <f>IFERROR(EXP((BP7-0.415)/(0.415*(1-0.415))),"")</f>
        <v/>
      </c>
      <c r="BW7" s="40">
        <f>IFERROR(EXP((BS7-0.405)/(0.405*(1-0.405))),"")</f>
        <v/>
      </c>
      <c r="BX7" s="40">
        <f>IFERROR(BT7*BU7*BV7*BW7,"")</f>
        <v/>
      </c>
      <c r="BY7" s="40">
        <f>IFERROR(BX7/(1+BX7),"")</f>
        <v/>
      </c>
      <c r="BZ7" s="40">
        <f>IFERROR(EXP(0.15*(SQRT(BH7)-0.5)/(0.5*0.5)),"")</f>
        <v/>
      </c>
      <c r="CA7" s="40">
        <f>IFERROR(IF(BY7&gt;=1,1E9,BY7/(1-BY7)*BZ7),"")</f>
        <v/>
      </c>
      <c r="CB7" s="40">
        <f>IFERROR(CA7/(1+CA7),"")</f>
        <v/>
      </c>
      <c r="CC7" s="42">
        <f>BH7</f>
        <v/>
      </c>
      <c r="CD7" s="42">
        <f>BN7</f>
        <v/>
      </c>
      <c r="CE7" s="42">
        <f>CB7</f>
        <v/>
      </c>
      <c r="CF7" s="43" t="inlineStr">
        <is>
          <t>Personally experienced. Very credible from lived experience.</t>
        </is>
      </c>
    </row>
    <row r="8" ht="40" customHeight="1">
      <c r="A8" s="37" t="n">
        <v>6</v>
      </c>
      <c r="B8" s="38" t="inlineStr">
        <is>
          <t>Private clinics in Morocco are expensive but often face the same medicine shortages as public hospitals.</t>
        </is>
      </c>
      <c r="C8" s="37" t="inlineStr">
        <is>
          <t>Health</t>
        </is>
      </c>
      <c r="D8" s="39" t="n">
        <v>0.82</v>
      </c>
      <c r="E8" s="39" t="n">
        <v>0.82</v>
      </c>
      <c r="F8" s="39" t="n">
        <v>0.72</v>
      </c>
      <c r="G8" s="39" t="n">
        <v>0.8</v>
      </c>
      <c r="H8" s="40">
        <f>IFERROR(AVERAGE(D8,E8,F8,G8),"")</f>
        <v/>
      </c>
      <c r="I8" s="39" t="n">
        <v>0.68</v>
      </c>
      <c r="J8" s="39" t="n">
        <v>0.63</v>
      </c>
      <c r="K8" s="39" t="n">
        <v>0.68</v>
      </c>
      <c r="L8" s="39" t="n">
        <v>0.65</v>
      </c>
      <c r="M8" s="40">
        <f>IFERROR(AVERAGE(I8,J8,K8,L8),"")</f>
        <v/>
      </c>
      <c r="N8" s="39" t="n">
        <v>0.55</v>
      </c>
      <c r="O8" s="39" t="n">
        <v>0.7</v>
      </c>
      <c r="P8" s="40">
        <f>IFERROR(IF(H8=0,0,H8^(H8^(-0.5)))*SQRT(M8)*((4*N8+O8)/5),"")</f>
        <v/>
      </c>
      <c r="Q8" s="39" t="n">
        <v>0.45</v>
      </c>
      <c r="R8" s="39" t="n">
        <v>0.88</v>
      </c>
      <c r="S8" s="39" t="n">
        <v>0.85</v>
      </c>
      <c r="T8" s="39" t="n">
        <v>0.75</v>
      </c>
      <c r="U8" s="40">
        <f>IFERROR(((Q8^1.4+T8)/2)*R8*(1-EXP(-4.605*S8)),"")</f>
        <v/>
      </c>
      <c r="V8" s="39" t="n">
        <v>0.62</v>
      </c>
      <c r="W8" s="39" t="n">
        <v>0.68</v>
      </c>
      <c r="X8" s="39" t="n">
        <v>0.6</v>
      </c>
      <c r="Y8" s="39" t="n">
        <v>0.68</v>
      </c>
      <c r="Z8" s="39" t="n">
        <v>0.45</v>
      </c>
      <c r="AA8" s="39" t="n">
        <v>0.68</v>
      </c>
      <c r="AB8" s="40">
        <f>IFERROR(Z8*(Y8*AA8^1.1)^1.1*((3*V8+2*W8+X8)/6)^0.5,"")</f>
        <v/>
      </c>
      <c r="AC8" s="40">
        <f>IFERROR(SQRT(AB8),"")</f>
        <v/>
      </c>
      <c r="AD8" s="39" t="n">
        <v>0.62</v>
      </c>
      <c r="AE8" s="39" t="n">
        <v>0.35</v>
      </c>
      <c r="AF8" s="40">
        <f>IFERROR(AE8*(1-AE8*H8),"")</f>
        <v/>
      </c>
      <c r="AG8" s="39" t="n">
        <v>0.6</v>
      </c>
      <c r="AH8" s="39" t="n">
        <v>0.72</v>
      </c>
      <c r="AI8" s="39" t="n">
        <v>0.65</v>
      </c>
      <c r="AJ8" s="40">
        <f>IFERROR(AH8^2.1*AG8^0.2*(2*AF8+3*AI8+AD8)/6,"")</f>
        <v/>
      </c>
      <c r="AK8" s="40">
        <f>IFERROR(SQRT(AJ8),"")</f>
        <v/>
      </c>
      <c r="AL8" s="39" t="n">
        <v>0.8</v>
      </c>
      <c r="AM8" s="40">
        <f>IFERROR(1-EXP(-AL8),"")</f>
        <v/>
      </c>
      <c r="AN8" s="40">
        <f>IFERROR(4.18*AM8^0.7*(1-AM8)^1.5,"")</f>
        <v/>
      </c>
      <c r="AO8" s="39" t="n">
        <v>0.62</v>
      </c>
      <c r="AP8" s="39" t="n">
        <v>0.48</v>
      </c>
      <c r="AQ8" s="39" t="n">
        <v>0.58</v>
      </c>
      <c r="AR8" s="39" t="n">
        <v>0.75</v>
      </c>
      <c r="AS8" s="40">
        <f>IFERROR(AN8^(1-AO8)*AP8*(4*AQ8*(1-AQ8))*AR8^1.15,"")</f>
        <v/>
      </c>
      <c r="AT8" s="40">
        <f>IFERROR(AS8^(1/3),"")</f>
        <v/>
      </c>
      <c r="AU8" s="39" t="n">
        <v>1.4</v>
      </c>
      <c r="AV8" s="39" t="n">
        <v>2</v>
      </c>
      <c r="AW8" s="40">
        <f>IFERROR(IF(AV8&lt;=1,AU8,AU8*(1+(AV8-1)*0.6)),"")</f>
        <v/>
      </c>
      <c r="AX8" s="39" t="n">
        <v>0.78</v>
      </c>
      <c r="AY8" s="39" t="n">
        <v>0.3</v>
      </c>
      <c r="AZ8" s="41" t="n">
        <v>0.5</v>
      </c>
      <c r="BA8" s="40">
        <f>IFERROR(AZ8/(1-AZ8),"")</f>
        <v/>
      </c>
      <c r="BB8" s="40">
        <f>IFERROR(EXP((P8-0.301)/(0.301*(1-0.301))),"")</f>
        <v/>
      </c>
      <c r="BC8" s="40">
        <f>IFERROR(EXP((U8-0.354)/(0.354*(1-0.354))),"")</f>
        <v/>
      </c>
      <c r="BD8" s="40">
        <f>IFERROR(AW8,"")</f>
        <v/>
      </c>
      <c r="BE8" s="40">
        <f>IFERROR(EXP((AX8-0.75)/(0.75*(1-0.75))),"")</f>
        <v/>
      </c>
      <c r="BF8" s="40">
        <f>IFERROR(EXP((AY8-0.5)/(0.5*(1-0.5))),"")</f>
        <v/>
      </c>
      <c r="BG8" s="40">
        <f>IFERROR(BA8*BB8*BC8*BD8*BE8*BF8,"")</f>
        <v/>
      </c>
      <c r="BH8" s="40">
        <f>IFERROR(BG8/(1+BG8),"")</f>
        <v/>
      </c>
      <c r="BI8" s="40">
        <f>IFERROR(IF(BH8&gt;=1,1E9,BH8/(1-BH8)),"")</f>
        <v/>
      </c>
      <c r="BJ8" s="40">
        <f>IFERROR(EXP((AC8-0.372)/(0.372*(1-0.372))),"")</f>
        <v/>
      </c>
      <c r="BK8" s="40">
        <f>IFERROR(EXP((AK8-0.415)/(0.415*(1-0.415))),"")</f>
        <v/>
      </c>
      <c r="BL8" s="40">
        <f>IFERROR(EXP((AT8-0.405)/(0.405*(1-0.405))),"")</f>
        <v/>
      </c>
      <c r="BM8" s="40">
        <f>IFERROR(BI8*BJ8*BK8*BL8,"")</f>
        <v/>
      </c>
      <c r="BN8" s="40">
        <f>IFERROR(BM8/(1+BM8),"")</f>
        <v/>
      </c>
      <c r="BO8" s="40">
        <f>IFERROR(IF(AC8&gt;=1,0.999,1-EXP(1-(1-AC8)^(-0.8))),"")</f>
        <v/>
      </c>
      <c r="BP8" s="40">
        <f>IFERROR(IF(AK8&gt;=1,0.999,1-EXP(1-(1-AK8)^(-0.75))),"")</f>
        <v/>
      </c>
      <c r="BQ8" s="40">
        <f>IFERROR(1-EXP(-AL8*(1+AL8)),"")</f>
        <v/>
      </c>
      <c r="BR8" s="40">
        <f>IFERROR(BQ8^(1-AO8)*AP8*(4*AQ8*(1-AQ8))*AR8^1.15,"")</f>
        <v/>
      </c>
      <c r="BS8" s="40">
        <f>IFERROR(IF(BR8^(1/3)&gt;=1,0.999,1-EXP(1-(1-BR8^(1/3))^(-0.7))),"")</f>
        <v/>
      </c>
      <c r="BT8" s="40">
        <f>1</f>
        <v/>
      </c>
      <c r="BU8" s="40">
        <f>IFERROR(EXP((BO8-0.372)/(0.372*(1-0.372))),"")</f>
        <v/>
      </c>
      <c r="BV8" s="40">
        <f>IFERROR(EXP((BP8-0.415)/(0.415*(1-0.415))),"")</f>
        <v/>
      </c>
      <c r="BW8" s="40">
        <f>IFERROR(EXP((BS8-0.405)/(0.405*(1-0.405))),"")</f>
        <v/>
      </c>
      <c r="BX8" s="40">
        <f>IFERROR(BT8*BU8*BV8*BW8,"")</f>
        <v/>
      </c>
      <c r="BY8" s="40">
        <f>IFERROR(BX8/(1+BX8),"")</f>
        <v/>
      </c>
      <c r="BZ8" s="40">
        <f>IFERROR(EXP(0.15*(SQRT(BH8)-0.5)/(0.5*0.5)),"")</f>
        <v/>
      </c>
      <c r="CA8" s="40">
        <f>IFERROR(IF(BY8&gt;=1,1E9,BY8/(1-BY8)*BZ8),"")</f>
        <v/>
      </c>
      <c r="CB8" s="40">
        <f>IFERROR(CA8/(1+CA8),"")</f>
        <v/>
      </c>
      <c r="CC8" s="42">
        <f>BH8</f>
        <v/>
      </c>
      <c r="CD8" s="42">
        <f>BN8</f>
        <v/>
      </c>
      <c r="CE8" s="42">
        <f>CB8</f>
        <v/>
      </c>
      <c r="CF8" s="43" t="inlineStr">
        <is>
          <t>Somewhat counterintuitive - people expect private to be better.</t>
        </is>
      </c>
    </row>
    <row r="9" ht="40" customHeight="1">
      <c r="A9" s="37" t="n">
        <v>7</v>
      </c>
      <c r="B9" s="38" t="inlineStr">
        <is>
          <t>Morocco has far fewer doctors per person than international health bodies consider safe.</t>
        </is>
      </c>
      <c r="C9" s="37" t="inlineStr">
        <is>
          <t>Health</t>
        </is>
      </c>
      <c r="D9" s="39" t="n">
        <v>0.82</v>
      </c>
      <c r="E9" s="39" t="n">
        <v>0.82</v>
      </c>
      <c r="F9" s="39" t="n">
        <v>0.75</v>
      </c>
      <c r="G9" s="39" t="n">
        <v>0.8</v>
      </c>
      <c r="H9" s="40">
        <f>IFERROR(AVERAGE(D9,E9,F9,G9),"")</f>
        <v/>
      </c>
      <c r="I9" s="39" t="n">
        <v>0.68</v>
      </c>
      <c r="J9" s="39" t="n">
        <v>0.65</v>
      </c>
      <c r="K9" s="39" t="n">
        <v>0.68</v>
      </c>
      <c r="L9" s="39" t="n">
        <v>0.65</v>
      </c>
      <c r="M9" s="40">
        <f>IFERROR(AVERAGE(I9,J9,K9,L9),"")</f>
        <v/>
      </c>
      <c r="N9" s="39" t="n">
        <v>0.58</v>
      </c>
      <c r="O9" s="39" t="n">
        <v>0.72</v>
      </c>
      <c r="P9" s="40">
        <f>IFERROR(IF(H9=0,0,H9^(H9^(-0.5)))*SQRT(M9)*((4*N9+O9)/5),"")</f>
        <v/>
      </c>
      <c r="Q9" s="39" t="n">
        <v>0.35</v>
      </c>
      <c r="R9" s="39" t="n">
        <v>0.9</v>
      </c>
      <c r="S9" s="39" t="n">
        <v>0.85</v>
      </c>
      <c r="T9" s="39" t="n">
        <v>0.78</v>
      </c>
      <c r="U9" s="40">
        <f>IFERROR(((Q9^1.4+T9)/2)*R9*(1-EXP(-4.605*S9)),"")</f>
        <v/>
      </c>
      <c r="V9" s="39" t="n">
        <v>0.62</v>
      </c>
      <c r="W9" s="39" t="n">
        <v>0.68</v>
      </c>
      <c r="X9" s="39" t="n">
        <v>0.6</v>
      </c>
      <c r="Y9" s="39" t="n">
        <v>0.68</v>
      </c>
      <c r="Z9" s="39" t="n">
        <v>0.45</v>
      </c>
      <c r="AA9" s="39" t="n">
        <v>0.68</v>
      </c>
      <c r="AB9" s="40">
        <f>IFERROR(Z9*(Y9*AA9^1.1)^1.1*((3*V9+2*W9+X9)/6)^0.5,"")</f>
        <v/>
      </c>
      <c r="AC9" s="40">
        <f>IFERROR(SQRT(AB9),"")</f>
        <v/>
      </c>
      <c r="AD9" s="39" t="n">
        <v>0.65</v>
      </c>
      <c r="AE9" s="39" t="n">
        <v>0.35</v>
      </c>
      <c r="AF9" s="40">
        <f>IFERROR(AE9*(1-AE9*H9),"")</f>
        <v/>
      </c>
      <c r="AG9" s="39" t="n">
        <v>0.62</v>
      </c>
      <c r="AH9" s="39" t="n">
        <v>0.8</v>
      </c>
      <c r="AI9" s="39" t="n">
        <v>0.68</v>
      </c>
      <c r="AJ9" s="40">
        <f>IFERROR(AH9^2.1*AG9^0.2*(2*AF9+3*AI9+AD9)/6,"")</f>
        <v/>
      </c>
      <c r="AK9" s="40">
        <f>IFERROR(SQRT(AJ9),"")</f>
        <v/>
      </c>
      <c r="AL9" s="39" t="n">
        <v>0.4</v>
      </c>
      <c r="AM9" s="40">
        <f>IFERROR(1-EXP(-AL9),"")</f>
        <v/>
      </c>
      <c r="AN9" s="40">
        <f>IFERROR(4.18*AM9^0.7*(1-AM9)^1.5,"")</f>
        <v/>
      </c>
      <c r="AO9" s="39" t="n">
        <v>0.63</v>
      </c>
      <c r="AP9" s="39" t="n">
        <v>0.48</v>
      </c>
      <c r="AQ9" s="39" t="n">
        <v>0.58</v>
      </c>
      <c r="AR9" s="39" t="n">
        <v>0.72</v>
      </c>
      <c r="AS9" s="40">
        <f>IFERROR(AN9^(1-AO9)*AP9*(4*AQ9*(1-AQ9))*AR9^1.15,"")</f>
        <v/>
      </c>
      <c r="AT9" s="40">
        <f>IFERROR(AS9^(1/3),"")</f>
        <v/>
      </c>
      <c r="AU9" s="39" t="n">
        <v>2</v>
      </c>
      <c r="AV9" s="39" t="n">
        <v>3</v>
      </c>
      <c r="AW9" s="40">
        <f>IFERROR(IF(AV9&lt;=1,AU9,AU9*(1+(AV9-1)*0.6)),"")</f>
        <v/>
      </c>
      <c r="AX9" s="39" t="n">
        <v>0.88</v>
      </c>
      <c r="AY9" s="39" t="n">
        <v>0.42</v>
      </c>
      <c r="AZ9" s="41" t="n">
        <v>0.5</v>
      </c>
      <c r="BA9" s="40">
        <f>IFERROR(AZ9/(1-AZ9),"")</f>
        <v/>
      </c>
      <c r="BB9" s="40">
        <f>IFERROR(EXP((P9-0.301)/(0.301*(1-0.301))),"")</f>
        <v/>
      </c>
      <c r="BC9" s="40">
        <f>IFERROR(EXP((U9-0.354)/(0.354*(1-0.354))),"")</f>
        <v/>
      </c>
      <c r="BD9" s="40">
        <f>IFERROR(AW9,"")</f>
        <v/>
      </c>
      <c r="BE9" s="40">
        <f>IFERROR(EXP((AX9-0.75)/(0.75*(1-0.75))),"")</f>
        <v/>
      </c>
      <c r="BF9" s="40">
        <f>IFERROR(EXP((AY9-0.5)/(0.5*(1-0.5))),"")</f>
        <v/>
      </c>
      <c r="BG9" s="40">
        <f>IFERROR(BA9*BB9*BC9*BD9*BE9*BF9,"")</f>
        <v/>
      </c>
      <c r="BH9" s="40">
        <f>IFERROR(BG9/(1+BG9),"")</f>
        <v/>
      </c>
      <c r="BI9" s="40">
        <f>IFERROR(IF(BH9&gt;=1,1E9,BH9/(1-BH9)),"")</f>
        <v/>
      </c>
      <c r="BJ9" s="40">
        <f>IFERROR(EXP((AC9-0.372)/(0.372*(1-0.372))),"")</f>
        <v/>
      </c>
      <c r="BK9" s="40">
        <f>IFERROR(EXP((AK9-0.415)/(0.415*(1-0.415))),"")</f>
        <v/>
      </c>
      <c r="BL9" s="40">
        <f>IFERROR(EXP((AT9-0.405)/(0.405*(1-0.405))),"")</f>
        <v/>
      </c>
      <c r="BM9" s="40">
        <f>IFERROR(BI9*BJ9*BK9*BL9,"")</f>
        <v/>
      </c>
      <c r="BN9" s="40">
        <f>IFERROR(BM9/(1+BM9),"")</f>
        <v/>
      </c>
      <c r="BO9" s="40">
        <f>IFERROR(IF(AC9&gt;=1,0.999,1-EXP(1-(1-AC9)^(-0.8))),"")</f>
        <v/>
      </c>
      <c r="BP9" s="40">
        <f>IFERROR(IF(AK9&gt;=1,0.999,1-EXP(1-(1-AK9)^(-0.75))),"")</f>
        <v/>
      </c>
      <c r="BQ9" s="40">
        <f>IFERROR(1-EXP(-AL9*(1+AL9)),"")</f>
        <v/>
      </c>
      <c r="BR9" s="40">
        <f>IFERROR(BQ9^(1-AO9)*AP9*(4*AQ9*(1-AQ9))*AR9^1.15,"")</f>
        <v/>
      </c>
      <c r="BS9" s="40">
        <f>IFERROR(IF(BR9^(1/3)&gt;=1,0.999,1-EXP(1-(1-BR9^(1/3))^(-0.7))),"")</f>
        <v/>
      </c>
      <c r="BT9" s="40">
        <f>1</f>
        <v/>
      </c>
      <c r="BU9" s="40">
        <f>IFERROR(EXP((BO9-0.372)/(0.372*(1-0.372))),"")</f>
        <v/>
      </c>
      <c r="BV9" s="40">
        <f>IFERROR(EXP((BP9-0.415)/(0.415*(1-0.415))),"")</f>
        <v/>
      </c>
      <c r="BW9" s="40">
        <f>IFERROR(EXP((BS9-0.405)/(0.405*(1-0.405))),"")</f>
        <v/>
      </c>
      <c r="BX9" s="40">
        <f>IFERROR(BT9*BU9*BV9*BW9,"")</f>
        <v/>
      </c>
      <c r="BY9" s="40">
        <f>IFERROR(BX9/(1+BX9),"")</f>
        <v/>
      </c>
      <c r="BZ9" s="40">
        <f>IFERROR(EXP(0.15*(SQRT(BH9)-0.5)/(0.5*0.5)),"")</f>
        <v/>
      </c>
      <c r="CA9" s="40">
        <f>IFERROR(IF(BY9&gt;=1,1E9,BY9/(1-BY9)*BZ9),"")</f>
        <v/>
      </c>
      <c r="CB9" s="40">
        <f>IFERROR(CA9/(1+CA9),"")</f>
        <v/>
      </c>
      <c r="CC9" s="42">
        <f>BH9</f>
        <v/>
      </c>
      <c r="CD9" s="42">
        <f>BN9</f>
        <v/>
      </c>
      <c r="CE9" s="42">
        <f>CB9</f>
        <v/>
      </c>
      <c r="CF9" s="43" t="inlineStr">
        <is>
          <t>True. Phrased as felt reality not statistic.</t>
        </is>
      </c>
    </row>
    <row r="10" ht="40" customHeight="1">
      <c r="A10" s="37" t="n">
        <v>8</v>
      </c>
      <c r="B10" s="38" t="inlineStr">
        <is>
          <t>Moroccan public hospitals are significantly understaffed relative to patient volume.</t>
        </is>
      </c>
      <c r="C10" s="37" t="inlineStr">
        <is>
          <t>Health</t>
        </is>
      </c>
      <c r="D10" s="39" t="n">
        <v>0.85</v>
      </c>
      <c r="E10" s="39" t="n">
        <v>0.85</v>
      </c>
      <c r="F10" s="39" t="n">
        <v>0.75</v>
      </c>
      <c r="G10" s="39" t="n">
        <v>0.82</v>
      </c>
      <c r="H10" s="40">
        <f>IFERROR(AVERAGE(D10,E10,F10,G10),"")</f>
        <v/>
      </c>
      <c r="I10" s="39" t="n">
        <v>0.7</v>
      </c>
      <c r="J10" s="39" t="n">
        <v>0.65</v>
      </c>
      <c r="K10" s="39" t="n">
        <v>0.7</v>
      </c>
      <c r="L10" s="39" t="n">
        <v>0.68</v>
      </c>
      <c r="M10" s="40">
        <f>IFERROR(AVERAGE(I10,J10,K10,L10),"")</f>
        <v/>
      </c>
      <c r="N10" s="39" t="n">
        <v>0.6</v>
      </c>
      <c r="O10" s="39" t="n">
        <v>0.8</v>
      </c>
      <c r="P10" s="40">
        <f>IFERROR(IF(H10=0,0,H10^(H10^(-0.5)))*SQRT(M10)*((4*N10+O10)/5),"")</f>
        <v/>
      </c>
      <c r="Q10" s="39" t="n">
        <v>0.28</v>
      </c>
      <c r="R10" s="39" t="n">
        <v>0.92</v>
      </c>
      <c r="S10" s="39" t="n">
        <v>0.88</v>
      </c>
      <c r="T10" s="39" t="n">
        <v>0.82</v>
      </c>
      <c r="U10" s="40">
        <f>IFERROR(((Q10^1.4+T10)/2)*R10*(1-EXP(-4.605*S10)),"")</f>
        <v/>
      </c>
      <c r="V10" s="39" t="n">
        <v>0.65</v>
      </c>
      <c r="W10" s="39" t="n">
        <v>0.7</v>
      </c>
      <c r="X10" s="39" t="n">
        <v>0.6</v>
      </c>
      <c r="Y10" s="39" t="n">
        <v>0.72</v>
      </c>
      <c r="Z10" s="39" t="n">
        <v>0.45</v>
      </c>
      <c r="AA10" s="39" t="n">
        <v>0.72</v>
      </c>
      <c r="AB10" s="40">
        <f>IFERROR(Z10*(Y10*AA10^1.1)^1.1*((3*V10+2*W10+X10)/6)^0.5,"")</f>
        <v/>
      </c>
      <c r="AC10" s="40">
        <f>IFERROR(SQRT(AB10),"")</f>
        <v/>
      </c>
      <c r="AD10" s="39" t="n">
        <v>0.7</v>
      </c>
      <c r="AE10" s="39" t="n">
        <v>0.38</v>
      </c>
      <c r="AF10" s="40">
        <f>IFERROR(AE10*(1-AE10*H10),"")</f>
        <v/>
      </c>
      <c r="AG10" s="39" t="n">
        <v>0.65</v>
      </c>
      <c r="AH10" s="39" t="n">
        <v>0.8</v>
      </c>
      <c r="AI10" s="39" t="n">
        <v>0.72</v>
      </c>
      <c r="AJ10" s="40">
        <f>IFERROR(AH10^2.1*AG10^0.2*(2*AF10+3*AI10+AD10)/6,"")</f>
        <v/>
      </c>
      <c r="AK10" s="40">
        <f>IFERROR(SQRT(AJ10),"")</f>
        <v/>
      </c>
      <c r="AL10" s="39" t="n">
        <v>0.18</v>
      </c>
      <c r="AM10" s="40">
        <f>IFERROR(1-EXP(-AL10),"")</f>
        <v/>
      </c>
      <c r="AN10" s="40">
        <f>IFERROR(4.18*AM10^0.7*(1-AM10)^1.5,"")</f>
        <v/>
      </c>
      <c r="AO10" s="39" t="n">
        <v>0.65</v>
      </c>
      <c r="AP10" s="39" t="n">
        <v>0.5</v>
      </c>
      <c r="AQ10" s="39" t="n">
        <v>0.63</v>
      </c>
      <c r="AR10" s="39" t="n">
        <v>0.82</v>
      </c>
      <c r="AS10" s="40">
        <f>IFERROR(AN10^(1-AO10)*AP10*(4*AQ10*(1-AQ10))*AR10^1.15,"")</f>
        <v/>
      </c>
      <c r="AT10" s="40">
        <f>IFERROR(AS10^(1/3),"")</f>
        <v/>
      </c>
      <c r="AU10" s="39" t="n">
        <v>1.8</v>
      </c>
      <c r="AV10" s="39" t="n">
        <v>3</v>
      </c>
      <c r="AW10" s="40">
        <f>IFERROR(IF(AV10&lt;=1,AU10,AU10*(1+(AV10-1)*0.6)),"")</f>
        <v/>
      </c>
      <c r="AX10" s="39" t="n">
        <v>0.88</v>
      </c>
      <c r="AY10" s="39" t="n">
        <v>0.38</v>
      </c>
      <c r="AZ10" s="41" t="n">
        <v>0.5</v>
      </c>
      <c r="BA10" s="40">
        <f>IFERROR(AZ10/(1-AZ10),"")</f>
        <v/>
      </c>
      <c r="BB10" s="40">
        <f>IFERROR(EXP((P10-0.301)/(0.301*(1-0.301))),"")</f>
        <v/>
      </c>
      <c r="BC10" s="40">
        <f>IFERROR(EXP((U10-0.354)/(0.354*(1-0.354))),"")</f>
        <v/>
      </c>
      <c r="BD10" s="40">
        <f>IFERROR(AW10,"")</f>
        <v/>
      </c>
      <c r="BE10" s="40">
        <f>IFERROR(EXP((AX10-0.75)/(0.75*(1-0.75))),"")</f>
        <v/>
      </c>
      <c r="BF10" s="40">
        <f>IFERROR(EXP((AY10-0.5)/(0.5*(1-0.5))),"")</f>
        <v/>
      </c>
      <c r="BG10" s="40">
        <f>IFERROR(BA10*BB10*BC10*BD10*BE10*BF10,"")</f>
        <v/>
      </c>
      <c r="BH10" s="40">
        <f>IFERROR(BG10/(1+BG10),"")</f>
        <v/>
      </c>
      <c r="BI10" s="40">
        <f>IFERROR(IF(BH10&gt;=1,1E9,BH10/(1-BH10)),"")</f>
        <v/>
      </c>
      <c r="BJ10" s="40">
        <f>IFERROR(EXP((AC10-0.372)/(0.372*(1-0.372))),"")</f>
        <v/>
      </c>
      <c r="BK10" s="40">
        <f>IFERROR(EXP((AK10-0.415)/(0.415*(1-0.415))),"")</f>
        <v/>
      </c>
      <c r="BL10" s="40">
        <f>IFERROR(EXP((AT10-0.405)/(0.405*(1-0.405))),"")</f>
        <v/>
      </c>
      <c r="BM10" s="40">
        <f>IFERROR(BI10*BJ10*BK10*BL10,"")</f>
        <v/>
      </c>
      <c r="BN10" s="40">
        <f>IFERROR(BM10/(1+BM10),"")</f>
        <v/>
      </c>
      <c r="BO10" s="40">
        <f>IFERROR(IF(AC10&gt;=1,0.999,1-EXP(1-(1-AC10)^(-0.8))),"")</f>
        <v/>
      </c>
      <c r="BP10" s="40">
        <f>IFERROR(IF(AK10&gt;=1,0.999,1-EXP(1-(1-AK10)^(-0.75))),"")</f>
        <v/>
      </c>
      <c r="BQ10" s="40">
        <f>IFERROR(1-EXP(-AL10*(1+AL10)),"")</f>
        <v/>
      </c>
      <c r="BR10" s="40">
        <f>IFERROR(BQ10^(1-AO10)*AP10*(4*AQ10*(1-AQ10))*AR10^1.15,"")</f>
        <v/>
      </c>
      <c r="BS10" s="40">
        <f>IFERROR(IF(BR10^(1/3)&gt;=1,0.999,1-EXP(1-(1-BR10^(1/3))^(-0.7))),"")</f>
        <v/>
      </c>
      <c r="BT10" s="40">
        <f>1</f>
        <v/>
      </c>
      <c r="BU10" s="40">
        <f>IFERROR(EXP((BO10-0.372)/(0.372*(1-0.372))),"")</f>
        <v/>
      </c>
      <c r="BV10" s="40">
        <f>IFERROR(EXP((BP10-0.415)/(0.415*(1-0.415))),"")</f>
        <v/>
      </c>
      <c r="BW10" s="40">
        <f>IFERROR(EXP((BS10-0.405)/(0.405*(1-0.405))),"")</f>
        <v/>
      </c>
      <c r="BX10" s="40">
        <f>IFERROR(BT10*BU10*BV10*BW10,"")</f>
        <v/>
      </c>
      <c r="BY10" s="40">
        <f>IFERROR(BX10/(1+BX10),"")</f>
        <v/>
      </c>
      <c r="BZ10" s="40">
        <f>IFERROR(EXP(0.15*(SQRT(BH10)-0.5)/(0.5*0.5)),"")</f>
        <v/>
      </c>
      <c r="CA10" s="40">
        <f>IFERROR(IF(BY10&gt;=1,1E9,BY10/(1-BY10)*BZ10),"")</f>
        <v/>
      </c>
      <c r="CB10" s="40">
        <f>IFERROR(CA10/(1+CA10),"")</f>
        <v/>
      </c>
      <c r="CC10" s="42">
        <f>BH10</f>
        <v/>
      </c>
      <c r="CD10" s="42">
        <f>BN10</f>
        <v/>
      </c>
      <c r="CE10" s="42">
        <f>CB10</f>
        <v/>
      </c>
      <c r="CF10" s="43" t="inlineStr">
        <is>
          <t>Universally experienced. Highest confidence in this cluster.</t>
        </is>
      </c>
    </row>
    <row r="11" ht="40" customHeight="1">
      <c r="A11" s="37" t="n">
        <v>9</v>
      </c>
      <c r="B11" s="38" t="inlineStr">
        <is>
          <t>Black seed (habba sawda) has proven anti-inflammatory and antioxidant properties supported by scientific research.</t>
        </is>
      </c>
      <c r="C11" s="37" t="inlineStr">
        <is>
          <t>Health</t>
        </is>
      </c>
      <c r="D11" s="39" t="n">
        <v>0.78</v>
      </c>
      <c r="E11" s="39" t="n">
        <v>0.62</v>
      </c>
      <c r="F11" s="39" t="n">
        <v>0.72</v>
      </c>
      <c r="G11" s="39" t="n">
        <v>0.78</v>
      </c>
      <c r="H11" s="40">
        <f>IFERROR(AVERAGE(D11,E11,F11,G11),"")</f>
        <v/>
      </c>
      <c r="I11" s="39" t="n">
        <v>0.72</v>
      </c>
      <c r="J11" s="39" t="n">
        <v>0.68</v>
      </c>
      <c r="K11" s="39" t="n">
        <v>0.6</v>
      </c>
      <c r="L11" s="39" t="n">
        <v>0.55</v>
      </c>
      <c r="M11" s="40">
        <f>IFERROR(AVERAGE(I11,J11,K11,L11),"")</f>
        <v/>
      </c>
      <c r="N11" s="39" t="n">
        <v>0.55</v>
      </c>
      <c r="O11" s="39" t="n">
        <v>0.65</v>
      </c>
      <c r="P11" s="40">
        <f>IFERROR(IF(H11=0,0,H11^(H11^(-0.5)))*SQRT(M11)*((4*N11+O11)/5),"")</f>
        <v/>
      </c>
      <c r="Q11" s="39" t="n">
        <v>0.45</v>
      </c>
      <c r="R11" s="39" t="n">
        <v>0.82</v>
      </c>
      <c r="S11" s="39" t="n">
        <v>0.85</v>
      </c>
      <c r="T11" s="39" t="n">
        <v>0.72</v>
      </c>
      <c r="U11" s="40">
        <f>IFERROR(((Q11^1.4+T11)/2)*R11*(1-EXP(-4.605*S11)),"")</f>
        <v/>
      </c>
      <c r="V11" s="39" t="n">
        <v>0.6</v>
      </c>
      <c r="W11" s="39" t="n">
        <v>0.65</v>
      </c>
      <c r="X11" s="39" t="n">
        <v>0.6</v>
      </c>
      <c r="Y11" s="39" t="n">
        <v>0.68</v>
      </c>
      <c r="Z11" s="39" t="n">
        <v>0.4</v>
      </c>
      <c r="AA11" s="39" t="n">
        <v>0.68</v>
      </c>
      <c r="AB11" s="40">
        <f>IFERROR(Z11*(Y11*AA11^1.1)^1.1*((3*V11+2*W11+X11)/6)^0.5,"")</f>
        <v/>
      </c>
      <c r="AC11" s="40">
        <f>IFERROR(SQRT(AB11),"")</f>
        <v/>
      </c>
      <c r="AD11" s="39" t="n">
        <v>0.6</v>
      </c>
      <c r="AE11" s="39" t="n">
        <v>0.3</v>
      </c>
      <c r="AF11" s="40">
        <f>IFERROR(AE11*(1-AE11*H11),"")</f>
        <v/>
      </c>
      <c r="AG11" s="39" t="n">
        <v>0.58</v>
      </c>
      <c r="AH11" s="39" t="n">
        <v>0.65</v>
      </c>
      <c r="AI11" s="39" t="n">
        <v>0.58</v>
      </c>
      <c r="AJ11" s="40">
        <f>IFERROR(AH11^2.1*AG11^0.2*(2*AF11+3*AI11+AD11)/6,"")</f>
        <v/>
      </c>
      <c r="AK11" s="40">
        <f>IFERROR(SQRT(AJ11),"")</f>
        <v/>
      </c>
      <c r="AL11" s="39" t="n">
        <v>0.4</v>
      </c>
      <c r="AM11" s="40">
        <f>IFERROR(1-EXP(-AL11),"")</f>
        <v/>
      </c>
      <c r="AN11" s="40">
        <f>IFERROR(4.18*AM11^0.7*(1-AM11)^1.5,"")</f>
        <v/>
      </c>
      <c r="AO11" s="39" t="n">
        <v>0.65</v>
      </c>
      <c r="AP11" s="39" t="n">
        <v>0.48</v>
      </c>
      <c r="AQ11" s="39" t="n">
        <v>0.58</v>
      </c>
      <c r="AR11" s="39" t="n">
        <v>0.62</v>
      </c>
      <c r="AS11" s="40">
        <f>IFERROR(AN11^(1-AO11)*AP11*(4*AQ11*(1-AQ11))*AR11^1.15,"")</f>
        <v/>
      </c>
      <c r="AT11" s="40">
        <f>IFERROR(AS11^(1/3),"")</f>
        <v/>
      </c>
      <c r="AU11" s="39" t="n">
        <v>2.5</v>
      </c>
      <c r="AV11" s="39" t="n">
        <v>3</v>
      </c>
      <c r="AW11" s="40">
        <f>IFERROR(IF(AV11&lt;=1,AU11,AU11*(1+(AV11-1)*0.6)),"")</f>
        <v/>
      </c>
      <c r="AX11" s="39" t="n">
        <v>0.72</v>
      </c>
      <c r="AY11" s="39" t="n">
        <v>0.55</v>
      </c>
      <c r="AZ11" s="41" t="n">
        <v>0.5</v>
      </c>
      <c r="BA11" s="40">
        <f>IFERROR(AZ11/(1-AZ11),"")</f>
        <v/>
      </c>
      <c r="BB11" s="40">
        <f>IFERROR(EXP((P11-0.301)/(0.301*(1-0.301))),"")</f>
        <v/>
      </c>
      <c r="BC11" s="40">
        <f>IFERROR(EXP((U11-0.354)/(0.354*(1-0.354))),"")</f>
        <v/>
      </c>
      <c r="BD11" s="40">
        <f>IFERROR(AW11,"")</f>
        <v/>
      </c>
      <c r="BE11" s="40">
        <f>IFERROR(EXP((AX11-0.75)/(0.75*(1-0.75))),"")</f>
        <v/>
      </c>
      <c r="BF11" s="40">
        <f>IFERROR(EXP((AY11-0.5)/(0.5*(1-0.5))),"")</f>
        <v/>
      </c>
      <c r="BG11" s="40">
        <f>IFERROR(BA11*BB11*BC11*BD11*BE11*BF11,"")</f>
        <v/>
      </c>
      <c r="BH11" s="40">
        <f>IFERROR(BG11/(1+BG11),"")</f>
        <v/>
      </c>
      <c r="BI11" s="40">
        <f>IFERROR(IF(BH11&gt;=1,1E9,BH11/(1-BH11)),"")</f>
        <v/>
      </c>
      <c r="BJ11" s="40">
        <f>IFERROR(EXP((AC11-0.372)/(0.372*(1-0.372))),"")</f>
        <v/>
      </c>
      <c r="BK11" s="40">
        <f>IFERROR(EXP((AK11-0.415)/(0.415*(1-0.415))),"")</f>
        <v/>
      </c>
      <c r="BL11" s="40">
        <f>IFERROR(EXP((AT11-0.405)/(0.405*(1-0.405))),"")</f>
        <v/>
      </c>
      <c r="BM11" s="40">
        <f>IFERROR(BI11*BJ11*BK11*BL11,"")</f>
        <v/>
      </c>
      <c r="BN11" s="40">
        <f>IFERROR(BM11/(1+BM11),"")</f>
        <v/>
      </c>
      <c r="BO11" s="40">
        <f>IFERROR(IF(AC11&gt;=1,0.999,1-EXP(1-(1-AC11)^(-0.8))),"")</f>
        <v/>
      </c>
      <c r="BP11" s="40">
        <f>IFERROR(IF(AK11&gt;=1,0.999,1-EXP(1-(1-AK11)^(-0.75))),"")</f>
        <v/>
      </c>
      <c r="BQ11" s="40">
        <f>IFERROR(1-EXP(-AL11*(1+AL11)),"")</f>
        <v/>
      </c>
      <c r="BR11" s="40">
        <f>IFERROR(BQ11^(1-AO11)*AP11*(4*AQ11*(1-AQ11))*AR11^1.15,"")</f>
        <v/>
      </c>
      <c r="BS11" s="40">
        <f>IFERROR(IF(BR11^(1/3)&gt;=1,0.999,1-EXP(1-(1-BR11^(1/3))^(-0.7))),"")</f>
        <v/>
      </c>
      <c r="BT11" s="40">
        <f>1</f>
        <v/>
      </c>
      <c r="BU11" s="40">
        <f>IFERROR(EXP((BO11-0.372)/(0.372*(1-0.372))),"")</f>
        <v/>
      </c>
      <c r="BV11" s="40">
        <f>IFERROR(EXP((BP11-0.415)/(0.415*(1-0.415))),"")</f>
        <v/>
      </c>
      <c r="BW11" s="40">
        <f>IFERROR(EXP((BS11-0.405)/(0.405*(1-0.405))),"")</f>
        <v/>
      </c>
      <c r="BX11" s="40">
        <f>IFERROR(BT11*BU11*BV11*BW11,"")</f>
        <v/>
      </c>
      <c r="BY11" s="40">
        <f>IFERROR(BX11/(1+BX11),"")</f>
        <v/>
      </c>
      <c r="BZ11" s="40">
        <f>IFERROR(EXP(0.15*(SQRT(BH11)-0.5)/(0.5*0.5)),"")</f>
        <v/>
      </c>
      <c r="CA11" s="40">
        <f>IFERROR(IF(BY11&gt;=1,1E9,BY11/(1-BY11)*BZ11),"")</f>
        <v/>
      </c>
      <c r="CB11" s="40">
        <f>IFERROR(CA11/(1+CA11),"")</f>
        <v/>
      </c>
      <c r="CC11" s="42">
        <f>BH11</f>
        <v/>
      </c>
      <c r="CD11" s="42">
        <f>BN11</f>
        <v/>
      </c>
      <c r="CE11" s="42">
        <f>CB11</f>
        <v/>
      </c>
      <c r="CF11" s="43" t="inlineStr">
        <is>
          <t>Some financial bias in source. True but commercially overstated. Medium awareness.</t>
        </is>
      </c>
    </row>
    <row r="12" ht="40" customHeight="1">
      <c r="A12" s="37" t="n">
        <v>10</v>
      </c>
      <c r="B12" s="38" t="inlineStr">
        <is>
          <t>Fasting during Ramadan has measurable metabolic health benefits supported by scientific studies.</t>
        </is>
      </c>
      <c r="C12" s="37" t="inlineStr">
        <is>
          <t>Health</t>
        </is>
      </c>
      <c r="D12" s="39" t="n">
        <v>0.85</v>
      </c>
      <c r="E12" s="39" t="n">
        <v>0.85</v>
      </c>
      <c r="F12" s="39" t="n">
        <v>0.8</v>
      </c>
      <c r="G12" s="39" t="n">
        <v>0.85</v>
      </c>
      <c r="H12" s="40">
        <f>IFERROR(AVERAGE(D12,E12,F12,G12),"")</f>
        <v/>
      </c>
      <c r="I12" s="39" t="n">
        <v>0.78</v>
      </c>
      <c r="J12" s="39" t="n">
        <v>0.72</v>
      </c>
      <c r="K12" s="39" t="n">
        <v>0.7</v>
      </c>
      <c r="L12" s="39" t="n">
        <v>0.65</v>
      </c>
      <c r="M12" s="40">
        <f>IFERROR(AVERAGE(I12,J12,K12,L12),"")</f>
        <v/>
      </c>
      <c r="N12" s="39" t="n">
        <v>0.6</v>
      </c>
      <c r="O12" s="39" t="n">
        <v>0.75</v>
      </c>
      <c r="P12" s="40">
        <f>IFERROR(IF(H12=0,0,H12^(H12^(-0.5)))*SQRT(M12)*((4*N12+O12)/5),"")</f>
        <v/>
      </c>
      <c r="Q12" s="39" t="n">
        <v>0.4</v>
      </c>
      <c r="R12" s="39" t="n">
        <v>0.88</v>
      </c>
      <c r="S12" s="39" t="n">
        <v>0.9</v>
      </c>
      <c r="T12" s="39" t="n">
        <v>0.78</v>
      </c>
      <c r="U12" s="40">
        <f>IFERROR(((Q12^1.4+T12)/2)*R12*(1-EXP(-4.605*S12)),"")</f>
        <v/>
      </c>
      <c r="V12" s="39" t="n">
        <v>0.65</v>
      </c>
      <c r="W12" s="39" t="n">
        <v>0.72</v>
      </c>
      <c r="X12" s="39" t="n">
        <v>0.6</v>
      </c>
      <c r="Y12" s="39" t="n">
        <v>0.72</v>
      </c>
      <c r="Z12" s="39" t="n">
        <v>0.48</v>
      </c>
      <c r="AA12" s="39" t="n">
        <v>0.7</v>
      </c>
      <c r="AB12" s="40">
        <f>IFERROR(Z12*(Y12*AA12^1.1)^1.1*((3*V12+2*W12+X12)/6)^0.5,"")</f>
        <v/>
      </c>
      <c r="AC12" s="40">
        <f>IFERROR(SQRT(AB12),"")</f>
        <v/>
      </c>
      <c r="AD12" s="39" t="n">
        <v>0.72</v>
      </c>
      <c r="AE12" s="39" t="n">
        <v>0.35</v>
      </c>
      <c r="AF12" s="40">
        <f>IFERROR(AE12*(1-AE12*H12),"")</f>
        <v/>
      </c>
      <c r="AG12" s="39" t="n">
        <v>0.68</v>
      </c>
      <c r="AH12" s="39" t="n">
        <v>0.8</v>
      </c>
      <c r="AI12" s="39" t="n">
        <v>0.68</v>
      </c>
      <c r="AJ12" s="40">
        <f>IFERROR(AH12^2.1*AG12^0.2*(2*AF12+3*AI12+AD12)/6,"")</f>
        <v/>
      </c>
      <c r="AK12" s="40">
        <f>IFERROR(SQRT(AJ12),"")</f>
        <v/>
      </c>
      <c r="AL12" s="39" t="n">
        <v>0.3</v>
      </c>
      <c r="AM12" s="40">
        <f>IFERROR(1-EXP(-AL12),"")</f>
        <v/>
      </c>
      <c r="AN12" s="40">
        <f>IFERROR(4.18*AM12^0.7*(1-AM12)^1.5,"")</f>
        <v/>
      </c>
      <c r="AO12" s="39" t="n">
        <v>0.75</v>
      </c>
      <c r="AP12" s="39" t="n">
        <v>0.52</v>
      </c>
      <c r="AQ12" s="39" t="n">
        <v>0.68</v>
      </c>
      <c r="AR12" s="39" t="n">
        <v>0.72</v>
      </c>
      <c r="AS12" s="40">
        <f>IFERROR(AN12^(1-AO12)*AP12*(4*AQ12*(1-AQ12))*AR12^1.15,"")</f>
        <v/>
      </c>
      <c r="AT12" s="40">
        <f>IFERROR(AS12^(1/3),"")</f>
        <v/>
      </c>
      <c r="AU12" s="39" t="n">
        <v>3</v>
      </c>
      <c r="AV12" s="39" t="n">
        <v>4</v>
      </c>
      <c r="AW12" s="40">
        <f>IFERROR(IF(AV12&lt;=1,AU12,AU12*(1+(AV12-1)*0.6)),"")</f>
        <v/>
      </c>
      <c r="AX12" s="39" t="n">
        <v>0.85</v>
      </c>
      <c r="AY12" s="39" t="n">
        <v>0.62</v>
      </c>
      <c r="AZ12" s="41" t="n">
        <v>0.5</v>
      </c>
      <c r="BA12" s="40">
        <f>IFERROR(AZ12/(1-AZ12),"")</f>
        <v/>
      </c>
      <c r="BB12" s="40">
        <f>IFERROR(EXP((P12-0.301)/(0.301*(1-0.301))),"")</f>
        <v/>
      </c>
      <c r="BC12" s="40">
        <f>IFERROR(EXP((U12-0.354)/(0.354*(1-0.354))),"")</f>
        <v/>
      </c>
      <c r="BD12" s="40">
        <f>IFERROR(AW12,"")</f>
        <v/>
      </c>
      <c r="BE12" s="40">
        <f>IFERROR(EXP((AX12-0.75)/(0.75*(1-0.75))),"")</f>
        <v/>
      </c>
      <c r="BF12" s="40">
        <f>IFERROR(EXP((AY12-0.5)/(0.5*(1-0.5))),"")</f>
        <v/>
      </c>
      <c r="BG12" s="40">
        <f>IFERROR(BA12*BB12*BC12*BD12*BE12*BF12,"")</f>
        <v/>
      </c>
      <c r="BH12" s="40">
        <f>IFERROR(BG12/(1+BG12),"")</f>
        <v/>
      </c>
      <c r="BI12" s="40">
        <f>IFERROR(IF(BH12&gt;=1,1E9,BH12/(1-BH12)),"")</f>
        <v/>
      </c>
      <c r="BJ12" s="40">
        <f>IFERROR(EXP((AC12-0.372)/(0.372*(1-0.372))),"")</f>
        <v/>
      </c>
      <c r="BK12" s="40">
        <f>IFERROR(EXP((AK12-0.415)/(0.415*(1-0.415))),"")</f>
        <v/>
      </c>
      <c r="BL12" s="40">
        <f>IFERROR(EXP((AT12-0.405)/(0.405*(1-0.405))),"")</f>
        <v/>
      </c>
      <c r="BM12" s="40">
        <f>IFERROR(BI12*BJ12*BK12*BL12,"")</f>
        <v/>
      </c>
      <c r="BN12" s="40">
        <f>IFERROR(BM12/(1+BM12),"")</f>
        <v/>
      </c>
      <c r="BO12" s="40">
        <f>IFERROR(IF(AC12&gt;=1,0.999,1-EXP(1-(1-AC12)^(-0.8))),"")</f>
        <v/>
      </c>
      <c r="BP12" s="40">
        <f>IFERROR(IF(AK12&gt;=1,0.999,1-EXP(1-(1-AK12)^(-0.75))),"")</f>
        <v/>
      </c>
      <c r="BQ12" s="40">
        <f>IFERROR(1-EXP(-AL12*(1+AL12)),"")</f>
        <v/>
      </c>
      <c r="BR12" s="40">
        <f>IFERROR(BQ12^(1-AO12)*AP12*(4*AQ12*(1-AQ12))*AR12^1.15,"")</f>
        <v/>
      </c>
      <c r="BS12" s="40">
        <f>IFERROR(IF(BR12^(1/3)&gt;=1,0.999,1-EXP(1-(1-BR12^(1/3))^(-0.7))),"")</f>
        <v/>
      </c>
      <c r="BT12" s="40">
        <f>1</f>
        <v/>
      </c>
      <c r="BU12" s="40">
        <f>IFERROR(EXP((BO12-0.372)/(0.372*(1-0.372))),"")</f>
        <v/>
      </c>
      <c r="BV12" s="40">
        <f>IFERROR(EXP((BP12-0.415)/(0.415*(1-0.415))),"")</f>
        <v/>
      </c>
      <c r="BW12" s="40">
        <f>IFERROR(EXP((BS12-0.405)/(0.405*(1-0.405))),"")</f>
        <v/>
      </c>
      <c r="BX12" s="40">
        <f>IFERROR(BT12*BU12*BV12*BW12,"")</f>
        <v/>
      </c>
      <c r="BY12" s="40">
        <f>IFERROR(BX12/(1+BX12),"")</f>
        <v/>
      </c>
      <c r="BZ12" s="40">
        <f>IFERROR(EXP(0.15*(SQRT(BH12)-0.5)/(0.5*0.5)),"")</f>
        <v/>
      </c>
      <c r="CA12" s="40">
        <f>IFERROR(IF(BY12&gt;=1,1E9,BY12/(1-BY12)*BZ12),"")</f>
        <v/>
      </c>
      <c r="CB12" s="40">
        <f>IFERROR(CA12/(1+CA12),"")</f>
        <v/>
      </c>
      <c r="CC12" s="42">
        <f>BH12</f>
        <v/>
      </c>
      <c r="CD12" s="42">
        <f>BN12</f>
        <v/>
      </c>
      <c r="CE12" s="42">
        <f>CB12</f>
        <v/>
      </c>
      <c r="CF12" s="43" t="inlineStr">
        <is>
          <t>True. Receiver knows this well. Emotionally positive (Ramadan). High scientific support.</t>
        </is>
      </c>
    </row>
    <row r="13" ht="40" customHeight="1">
      <c r="A13" s="37" t="n">
        <v>11</v>
      </c>
      <c r="B13" s="38" t="inlineStr">
        <is>
          <t>Sleeping with your phone under your pillow causes brain damage over time.</t>
        </is>
      </c>
      <c r="C13" s="37" t="inlineStr">
        <is>
          <t>Health</t>
        </is>
      </c>
      <c r="D13" s="39" t="n">
        <v>0.8</v>
      </c>
      <c r="E13" s="39" t="n">
        <v>0.8</v>
      </c>
      <c r="F13" s="39" t="n">
        <v>0.8</v>
      </c>
      <c r="G13" s="39" t="n">
        <v>0.8</v>
      </c>
      <c r="H13" s="40">
        <f>IFERROR(AVERAGE(D13,E13,F13,G13),"")</f>
        <v/>
      </c>
      <c r="I13" s="39" t="n">
        <v>0.2</v>
      </c>
      <c r="J13" s="39" t="n">
        <v>0.15</v>
      </c>
      <c r="K13" s="39" t="n">
        <v>0.1</v>
      </c>
      <c r="L13" s="39" t="n">
        <v>0.15</v>
      </c>
      <c r="M13" s="40">
        <f>IFERROR(AVERAGE(I13,J13,K13,L13),"")</f>
        <v/>
      </c>
      <c r="N13" s="39" t="n">
        <v>0.3</v>
      </c>
      <c r="O13" s="39" t="n">
        <v>0.6</v>
      </c>
      <c r="P13" s="40">
        <f>IFERROR(IF(H13=0,0,H13^(H13^(-0.5)))*SQRT(M13)*((4*N13+O13)/5),"")</f>
        <v/>
      </c>
      <c r="Q13" s="39" t="n">
        <v>0.55</v>
      </c>
      <c r="R13" s="39" t="n">
        <v>0.65</v>
      </c>
      <c r="S13" s="39" t="n">
        <v>0.72</v>
      </c>
      <c r="T13" s="39" t="n">
        <v>0.6</v>
      </c>
      <c r="U13" s="40">
        <f>IFERROR(((Q13^1.4+T13)/2)*R13*(1-EXP(-4.605*S13)),"")</f>
        <v/>
      </c>
      <c r="V13" s="39" t="n">
        <v>0.55</v>
      </c>
      <c r="W13" s="39" t="n">
        <v>0.6</v>
      </c>
      <c r="X13" s="39" t="n">
        <v>0.6</v>
      </c>
      <c r="Y13" s="39" t="n">
        <v>0.6</v>
      </c>
      <c r="Z13" s="39" t="n">
        <v>0.35</v>
      </c>
      <c r="AA13" s="39" t="n">
        <v>0.75</v>
      </c>
      <c r="AB13" s="40">
        <f>IFERROR(Z13*(Y13*AA13^1.1)^1.1*((3*V13+2*W13+X13)/6)^0.5,"")</f>
        <v/>
      </c>
      <c r="AC13" s="40">
        <f>IFERROR(SQRT(AB13),"")</f>
        <v/>
      </c>
      <c r="AD13" s="39" t="n">
        <v>0.55</v>
      </c>
      <c r="AE13" s="39" t="n">
        <v>0.2</v>
      </c>
      <c r="AF13" s="40">
        <f>IFERROR(AE13*(1-AE13*H13),"")</f>
        <v/>
      </c>
      <c r="AG13" s="39" t="n">
        <v>0.55</v>
      </c>
      <c r="AH13" s="39" t="n">
        <v>0.6</v>
      </c>
      <c r="AI13" s="39" t="n">
        <v>0.52</v>
      </c>
      <c r="AJ13" s="40">
        <f>IFERROR(AH13^2.1*AG13^0.2*(2*AF13+3*AI13+AD13)/6,"")</f>
        <v/>
      </c>
      <c r="AK13" s="40">
        <f>IFERROR(SQRT(AJ13),"")</f>
        <v/>
      </c>
      <c r="AL13" s="39" t="n">
        <v>0.65</v>
      </c>
      <c r="AM13" s="40">
        <f>IFERROR(1-EXP(-AL13),"")</f>
        <v/>
      </c>
      <c r="AN13" s="40">
        <f>IFERROR(4.18*AM13^0.7*(1-AM13)^1.5,"")</f>
        <v/>
      </c>
      <c r="AO13" s="39" t="n">
        <v>0.6</v>
      </c>
      <c r="AP13" s="39" t="n">
        <v>0.42</v>
      </c>
      <c r="AQ13" s="39" t="n">
        <v>0.52</v>
      </c>
      <c r="AR13" s="39" t="n">
        <v>0.6</v>
      </c>
      <c r="AS13" s="40">
        <f>IFERROR(AN13^(1-AO13)*AP13*(4*AQ13*(1-AQ13))*AR13^1.15,"")</f>
        <v/>
      </c>
      <c r="AT13" s="40">
        <f>IFERROR(AS13^(1/3),"")</f>
        <v/>
      </c>
      <c r="AU13" s="39" t="n">
        <v>1</v>
      </c>
      <c r="AV13" s="39" t="n">
        <v>1</v>
      </c>
      <c r="AW13" s="40">
        <f>IFERROR(IF(AV13&lt;=1,AU13,AU13*(1+(AV13-1)*0.6)),"")</f>
        <v/>
      </c>
      <c r="AX13" s="39" t="n">
        <v>0.25</v>
      </c>
      <c r="AY13" s="39" t="n">
        <v>0.08</v>
      </c>
      <c r="AZ13" s="41" t="n">
        <v>0.5</v>
      </c>
      <c r="BA13" s="40">
        <f>IFERROR(AZ13/(1-AZ13),"")</f>
        <v/>
      </c>
      <c r="BB13" s="40">
        <f>IFERROR(EXP((P13-0.301)/(0.301*(1-0.301))),"")</f>
        <v/>
      </c>
      <c r="BC13" s="40">
        <f>IFERROR(EXP((U13-0.354)/(0.354*(1-0.354))),"")</f>
        <v/>
      </c>
      <c r="BD13" s="40">
        <f>IFERROR(AW13,"")</f>
        <v/>
      </c>
      <c r="BE13" s="40">
        <f>IFERROR(EXP((AX13-0.75)/(0.75*(1-0.75))),"")</f>
        <v/>
      </c>
      <c r="BF13" s="40">
        <f>IFERROR(EXP((AY13-0.5)/(0.5*(1-0.5))),"")</f>
        <v/>
      </c>
      <c r="BG13" s="40">
        <f>IFERROR(BA13*BB13*BC13*BD13*BE13*BF13,"")</f>
        <v/>
      </c>
      <c r="BH13" s="40">
        <f>IFERROR(BG13/(1+BG13),"")</f>
        <v/>
      </c>
      <c r="BI13" s="40">
        <f>IFERROR(IF(BH13&gt;=1,1E9,BH13/(1-BH13)),"")</f>
        <v/>
      </c>
      <c r="BJ13" s="40">
        <f>IFERROR(EXP((AC13-0.372)/(0.372*(1-0.372))),"")</f>
        <v/>
      </c>
      <c r="BK13" s="40">
        <f>IFERROR(EXP((AK13-0.415)/(0.415*(1-0.415))),"")</f>
        <v/>
      </c>
      <c r="BL13" s="40">
        <f>IFERROR(EXP((AT13-0.405)/(0.405*(1-0.405))),"")</f>
        <v/>
      </c>
      <c r="BM13" s="40">
        <f>IFERROR(BI13*BJ13*BK13*BL13,"")</f>
        <v/>
      </c>
      <c r="BN13" s="40">
        <f>IFERROR(BM13/(1+BM13),"")</f>
        <v/>
      </c>
      <c r="BO13" s="40">
        <f>IFERROR(IF(AC13&gt;=1,0.999,1-EXP(1-(1-AC13)^(-0.8))),"")</f>
        <v/>
      </c>
      <c r="BP13" s="40">
        <f>IFERROR(IF(AK13&gt;=1,0.999,1-EXP(1-(1-AK13)^(-0.75))),"")</f>
        <v/>
      </c>
      <c r="BQ13" s="40">
        <f>IFERROR(1-EXP(-AL13*(1+AL13)),"")</f>
        <v/>
      </c>
      <c r="BR13" s="40">
        <f>IFERROR(BQ13^(1-AO13)*AP13*(4*AQ13*(1-AQ13))*AR13^1.15,"")</f>
        <v/>
      </c>
      <c r="BS13" s="40">
        <f>IFERROR(IF(BR13^(1/3)&gt;=1,0.999,1-EXP(1-(1-BR13^(1/3))^(-0.7))),"")</f>
        <v/>
      </c>
      <c r="BT13" s="40">
        <f>1</f>
        <v/>
      </c>
      <c r="BU13" s="40">
        <f>IFERROR(EXP((BO13-0.372)/(0.372*(1-0.372))),"")</f>
        <v/>
      </c>
      <c r="BV13" s="40">
        <f>IFERROR(EXP((BP13-0.415)/(0.415*(1-0.415))),"")</f>
        <v/>
      </c>
      <c r="BW13" s="40">
        <f>IFERROR(EXP((BS13-0.405)/(0.405*(1-0.405))),"")</f>
        <v/>
      </c>
      <c r="BX13" s="40">
        <f>IFERROR(BT13*BU13*BV13*BW13,"")</f>
        <v/>
      </c>
      <c r="BY13" s="40">
        <f>IFERROR(BX13/(1+BX13),"")</f>
        <v/>
      </c>
      <c r="BZ13" s="40">
        <f>IFERROR(EXP(0.15*(SQRT(BH13)-0.5)/(0.5*0.5)),"")</f>
        <v/>
      </c>
      <c r="CA13" s="40">
        <f>IFERROR(IF(BY13&gt;=1,1E9,BY13/(1-BY13)*BZ13),"")</f>
        <v/>
      </c>
      <c r="CB13" s="40">
        <f>IFERROR(CA13/(1+CA13),"")</f>
        <v/>
      </c>
      <c r="CC13" s="42">
        <f>BH13</f>
        <v/>
      </c>
      <c r="CD13" s="42">
        <f>BN13</f>
        <v/>
      </c>
      <c r="CE13" s="42">
        <f>CB13</f>
        <v/>
      </c>
      <c r="CF13" s="43" t="inlineStr">
        <is>
          <t>False. Fading WhatsApp myth. Low expertise source. Rising opposition as it fades.</t>
        </is>
      </c>
    </row>
    <row r="14" ht="40" customHeight="1">
      <c r="A14" s="37" t="n">
        <v>12</v>
      </c>
      <c r="B14" s="38" t="inlineStr">
        <is>
          <t>Argan oil applied to the skin has scientifically supported antioxidant properties.</t>
        </is>
      </c>
      <c r="C14" s="37" t="inlineStr">
        <is>
          <t>Health</t>
        </is>
      </c>
      <c r="D14" s="39" t="n">
        <v>0.72</v>
      </c>
      <c r="E14" s="39" t="n">
        <v>0.58</v>
      </c>
      <c r="F14" s="39" t="n">
        <v>0.72</v>
      </c>
      <c r="G14" s="39" t="n">
        <v>0.75</v>
      </c>
      <c r="H14" s="40">
        <f>IFERROR(AVERAGE(D14,E14,F14,G14),"")</f>
        <v/>
      </c>
      <c r="I14" s="39" t="n">
        <v>0.68</v>
      </c>
      <c r="J14" s="39" t="n">
        <v>0.65</v>
      </c>
      <c r="K14" s="39" t="n">
        <v>0.58</v>
      </c>
      <c r="L14" s="39" t="n">
        <v>0.52</v>
      </c>
      <c r="M14" s="40">
        <f>IFERROR(AVERAGE(I14,J14,K14,L14),"")</f>
        <v/>
      </c>
      <c r="N14" s="39" t="n">
        <v>0.52</v>
      </c>
      <c r="O14" s="39" t="n">
        <v>0.68</v>
      </c>
      <c r="P14" s="40">
        <f>IFERROR(IF(H14=0,0,H14^(H14^(-0.5)))*SQRT(M14)*((4*N14+O14)/5),"")</f>
        <v/>
      </c>
      <c r="Q14" s="39" t="n">
        <v>0.42</v>
      </c>
      <c r="R14" s="39" t="n">
        <v>0.82</v>
      </c>
      <c r="S14" s="39" t="n">
        <v>0.85</v>
      </c>
      <c r="T14" s="39" t="n">
        <v>0.7</v>
      </c>
      <c r="U14" s="40">
        <f>IFERROR(((Q14^1.4+T14)/2)*R14*(1-EXP(-4.605*S14)),"")</f>
        <v/>
      </c>
      <c r="V14" s="39" t="n">
        <v>0.6</v>
      </c>
      <c r="W14" s="39" t="n">
        <v>0.65</v>
      </c>
      <c r="X14" s="39" t="n">
        <v>0.6</v>
      </c>
      <c r="Y14" s="39" t="n">
        <v>0.65</v>
      </c>
      <c r="Z14" s="39" t="n">
        <v>0.42</v>
      </c>
      <c r="AA14" s="39" t="n">
        <v>0.68</v>
      </c>
      <c r="AB14" s="40">
        <f>IFERROR(Z14*(Y14*AA14^1.1)^1.1*((3*V14+2*W14+X14)/6)^0.5,"")</f>
        <v/>
      </c>
      <c r="AC14" s="40">
        <f>IFERROR(SQRT(AB14),"")</f>
        <v/>
      </c>
      <c r="AD14" s="39" t="n">
        <v>0.58</v>
      </c>
      <c r="AE14" s="39" t="n">
        <v>0.28</v>
      </c>
      <c r="AF14" s="40">
        <f>IFERROR(AE14*(1-AE14*H14),"")</f>
        <v/>
      </c>
      <c r="AG14" s="39" t="n">
        <v>0.58</v>
      </c>
      <c r="AH14" s="39" t="n">
        <v>0.68</v>
      </c>
      <c r="AI14" s="39" t="n">
        <v>0.55</v>
      </c>
      <c r="AJ14" s="40">
        <f>IFERROR(AH14^2.1*AG14^0.2*(2*AF14+3*AI14+AD14)/6,"")</f>
        <v/>
      </c>
      <c r="AK14" s="40">
        <f>IFERROR(SQRT(AJ14),"")</f>
        <v/>
      </c>
      <c r="AL14" s="39" t="n">
        <v>0.45</v>
      </c>
      <c r="AM14" s="40">
        <f>IFERROR(1-EXP(-AL14),"")</f>
        <v/>
      </c>
      <c r="AN14" s="40">
        <f>IFERROR(4.18*AM14^0.7*(1-AM14)^1.5,"")</f>
        <v/>
      </c>
      <c r="AO14" s="39" t="n">
        <v>0.65</v>
      </c>
      <c r="AP14" s="39" t="n">
        <v>0.48</v>
      </c>
      <c r="AQ14" s="39" t="n">
        <v>0.58</v>
      </c>
      <c r="AR14" s="39" t="n">
        <v>0.58</v>
      </c>
      <c r="AS14" s="40">
        <f>IFERROR(AN14^(1-AO14)*AP14*(4*AQ14*(1-AQ14))*AR14^1.15,"")</f>
        <v/>
      </c>
      <c r="AT14" s="40">
        <f>IFERROR(AS14^(1/3),"")</f>
        <v/>
      </c>
      <c r="AU14" s="39" t="n">
        <v>2.2</v>
      </c>
      <c r="AV14" s="39" t="n">
        <v>3</v>
      </c>
      <c r="AW14" s="40">
        <f>IFERROR(IF(AV14&lt;=1,AU14,AU14*(1+(AV14-1)*0.6)),"")</f>
        <v/>
      </c>
      <c r="AX14" s="39" t="n">
        <v>0.75</v>
      </c>
      <c r="AY14" s="39" t="n">
        <v>0.52</v>
      </c>
      <c r="AZ14" s="41" t="n">
        <v>0.5</v>
      </c>
      <c r="BA14" s="40">
        <f>IFERROR(AZ14/(1-AZ14),"")</f>
        <v/>
      </c>
      <c r="BB14" s="40">
        <f>IFERROR(EXP((P14-0.301)/(0.301*(1-0.301))),"")</f>
        <v/>
      </c>
      <c r="BC14" s="40">
        <f>IFERROR(EXP((U14-0.354)/(0.354*(1-0.354))),"")</f>
        <v/>
      </c>
      <c r="BD14" s="40">
        <f>IFERROR(AW14,"")</f>
        <v/>
      </c>
      <c r="BE14" s="40">
        <f>IFERROR(EXP((AX14-0.75)/(0.75*(1-0.75))),"")</f>
        <v/>
      </c>
      <c r="BF14" s="40">
        <f>IFERROR(EXP((AY14-0.5)/(0.5*(1-0.5))),"")</f>
        <v/>
      </c>
      <c r="BG14" s="40">
        <f>IFERROR(BA14*BB14*BC14*BD14*BE14*BF14,"")</f>
        <v/>
      </c>
      <c r="BH14" s="40">
        <f>IFERROR(BG14/(1+BG14),"")</f>
        <v/>
      </c>
      <c r="BI14" s="40">
        <f>IFERROR(IF(BH14&gt;=1,1E9,BH14/(1-BH14)),"")</f>
        <v/>
      </c>
      <c r="BJ14" s="40">
        <f>IFERROR(EXP((AC14-0.372)/(0.372*(1-0.372))),"")</f>
        <v/>
      </c>
      <c r="BK14" s="40">
        <f>IFERROR(EXP((AK14-0.415)/(0.415*(1-0.415))),"")</f>
        <v/>
      </c>
      <c r="BL14" s="40">
        <f>IFERROR(EXP((AT14-0.405)/(0.405*(1-0.405))),"")</f>
        <v/>
      </c>
      <c r="BM14" s="40">
        <f>IFERROR(BI14*BJ14*BK14*BL14,"")</f>
        <v/>
      </c>
      <c r="BN14" s="40">
        <f>IFERROR(BM14/(1+BM14),"")</f>
        <v/>
      </c>
      <c r="BO14" s="40">
        <f>IFERROR(IF(AC14&gt;=1,0.999,1-EXP(1-(1-AC14)^(-0.8))),"")</f>
        <v/>
      </c>
      <c r="BP14" s="40">
        <f>IFERROR(IF(AK14&gt;=1,0.999,1-EXP(1-(1-AK14)^(-0.75))),"")</f>
        <v/>
      </c>
      <c r="BQ14" s="40">
        <f>IFERROR(1-EXP(-AL14*(1+AL14)),"")</f>
        <v/>
      </c>
      <c r="BR14" s="40">
        <f>IFERROR(BQ14^(1-AO14)*AP14*(4*AQ14*(1-AQ14))*AR14^1.15,"")</f>
        <v/>
      </c>
      <c r="BS14" s="40">
        <f>IFERROR(IF(BR14^(1/3)&gt;=1,0.999,1-EXP(1-(1-BR14^(1/3))^(-0.7))),"")</f>
        <v/>
      </c>
      <c r="BT14" s="40">
        <f>1</f>
        <v/>
      </c>
      <c r="BU14" s="40">
        <f>IFERROR(EXP((BO14-0.372)/(0.372*(1-0.372))),"")</f>
        <v/>
      </c>
      <c r="BV14" s="40">
        <f>IFERROR(EXP((BP14-0.415)/(0.415*(1-0.415))),"")</f>
        <v/>
      </c>
      <c r="BW14" s="40">
        <f>IFERROR(EXP((BS14-0.405)/(0.405*(1-0.405))),"")</f>
        <v/>
      </c>
      <c r="BX14" s="40">
        <f>IFERROR(BT14*BU14*BV14*BW14,"")</f>
        <v/>
      </c>
      <c r="BY14" s="40">
        <f>IFERROR(BX14/(1+BX14),"")</f>
        <v/>
      </c>
      <c r="BZ14" s="40">
        <f>IFERROR(EXP(0.15*(SQRT(BH14)-0.5)/(0.5*0.5)),"")</f>
        <v/>
      </c>
      <c r="CA14" s="40">
        <f>IFERROR(IF(BY14&gt;=1,1E9,BY14/(1-BY14)*BZ14),"")</f>
        <v/>
      </c>
      <c r="CB14" s="40">
        <f>IFERROR(CA14/(1+CA14),"")</f>
        <v/>
      </c>
      <c r="CC14" s="42">
        <f>BH14</f>
        <v/>
      </c>
      <c r="CD14" s="42">
        <f>BN14</f>
        <v/>
      </c>
      <c r="CE14" s="42">
        <f>CB14</f>
        <v/>
      </c>
      <c r="CF14" s="43" t="inlineStr">
        <is>
          <t>Some commercial bias but neutral-ish. True. Medium-high awareness among Moroccans.</t>
        </is>
      </c>
    </row>
    <row r="15" ht="40" customHeight="1">
      <c r="A15" s="37" t="n">
        <v>13</v>
      </c>
      <c r="B15" s="38" t="inlineStr">
        <is>
          <t>Morocco approved a national health insurance reform (AMO Tadamon) a few years ago that is still being implemented slowly.</t>
        </is>
      </c>
      <c r="C15" s="37" t="inlineStr">
        <is>
          <t>Health</t>
        </is>
      </c>
      <c r="D15" s="39" t="n">
        <v>0.72</v>
      </c>
      <c r="E15" s="39" t="n">
        <v>0.72</v>
      </c>
      <c r="F15" s="39" t="n">
        <v>0.62</v>
      </c>
      <c r="G15" s="39" t="n">
        <v>0.7</v>
      </c>
      <c r="H15" s="40">
        <f>IFERROR(AVERAGE(D15,E15,F15,G15),"")</f>
        <v/>
      </c>
      <c r="I15" s="39" t="n">
        <v>0.72</v>
      </c>
      <c r="J15" s="39" t="n">
        <v>0.68</v>
      </c>
      <c r="K15" s="39" t="n">
        <v>0.65</v>
      </c>
      <c r="L15" s="39" t="n">
        <v>0.6</v>
      </c>
      <c r="M15" s="40">
        <f>IFERROR(AVERAGE(I15,J15,K15,L15),"")</f>
        <v/>
      </c>
      <c r="N15" s="39" t="n">
        <v>0.65</v>
      </c>
      <c r="O15" s="39" t="n">
        <v>0.68</v>
      </c>
      <c r="P15" s="40">
        <f>IFERROR(IF(H15=0,0,H15^(H15^(-0.5)))*SQRT(M15)*((4*N15+O15)/5),"")</f>
        <v/>
      </c>
      <c r="Q15" s="39" t="n">
        <v>0.38</v>
      </c>
      <c r="R15" s="39" t="n">
        <v>0.88</v>
      </c>
      <c r="S15" s="39" t="n">
        <v>0.88</v>
      </c>
      <c r="T15" s="39" t="n">
        <v>0.78</v>
      </c>
      <c r="U15" s="40">
        <f>IFERROR(((Q15^1.4+T15)/2)*R15*(1-EXP(-4.605*S15)),"")</f>
        <v/>
      </c>
      <c r="V15" s="39" t="n">
        <v>0.62</v>
      </c>
      <c r="W15" s="39" t="n">
        <v>0.68</v>
      </c>
      <c r="X15" s="39" t="n">
        <v>0.6</v>
      </c>
      <c r="Y15" s="39" t="n">
        <v>0.68</v>
      </c>
      <c r="Z15" s="39" t="n">
        <v>0.55</v>
      </c>
      <c r="AA15" s="39" t="n">
        <v>0.68</v>
      </c>
      <c r="AB15" s="40">
        <f>IFERROR(Z15*(Y15*AA15^1.1)^1.1*((3*V15+2*W15+X15)/6)^0.5,"")</f>
        <v/>
      </c>
      <c r="AC15" s="40">
        <f>IFERROR(SQRT(AB15),"")</f>
        <v/>
      </c>
      <c r="AD15" s="39" t="n">
        <v>0.62</v>
      </c>
      <c r="AE15" s="39" t="n">
        <v>0.42</v>
      </c>
      <c r="AF15" s="40">
        <f>IFERROR(AE15*(1-AE15*H15),"")</f>
        <v/>
      </c>
      <c r="AG15" s="39" t="n">
        <v>0.62</v>
      </c>
      <c r="AH15" s="39" t="n">
        <v>0.72</v>
      </c>
      <c r="AI15" s="39" t="n">
        <v>0.68</v>
      </c>
      <c r="AJ15" s="40">
        <f>IFERROR(AH15^2.1*AG15^0.2*(2*AF15+3*AI15+AD15)/6,"")</f>
        <v/>
      </c>
      <c r="AK15" s="40">
        <f>IFERROR(SQRT(AJ15),"")</f>
        <v/>
      </c>
      <c r="AL15" s="39" t="n">
        <v>0.8</v>
      </c>
      <c r="AM15" s="40">
        <f>IFERROR(1-EXP(-AL15),"")</f>
        <v/>
      </c>
      <c r="AN15" s="40">
        <f>IFERROR(4.18*AM15^0.7*(1-AM15)^1.5,"")</f>
        <v/>
      </c>
      <c r="AO15" s="39" t="n">
        <v>0.62</v>
      </c>
      <c r="AP15" s="39" t="n">
        <v>0.48</v>
      </c>
      <c r="AQ15" s="39" t="n">
        <v>0.55</v>
      </c>
      <c r="AR15" s="39" t="n">
        <v>0.68</v>
      </c>
      <c r="AS15" s="40">
        <f>IFERROR(AN15^(1-AO15)*AP15*(4*AQ15*(1-AQ15))*AR15^1.15,"")</f>
        <v/>
      </c>
      <c r="AT15" s="40">
        <f>IFERROR(AS15^(1/3),"")</f>
        <v/>
      </c>
      <c r="AU15" s="39" t="n">
        <v>1.8</v>
      </c>
      <c r="AV15" s="39" t="n">
        <v>2</v>
      </c>
      <c r="AW15" s="40">
        <f>IFERROR(IF(AV15&lt;=1,AU15,AU15*(1+(AV15-1)*0.6)),"")</f>
        <v/>
      </c>
      <c r="AX15" s="39" t="n">
        <v>0.85</v>
      </c>
      <c r="AY15" s="39" t="n">
        <v>0.4</v>
      </c>
      <c r="AZ15" s="41" t="n">
        <v>0.5</v>
      </c>
      <c r="BA15" s="40">
        <f>IFERROR(AZ15/(1-AZ15),"")</f>
        <v/>
      </c>
      <c r="BB15" s="40">
        <f>IFERROR(EXP((P15-0.301)/(0.301*(1-0.301))),"")</f>
        <v/>
      </c>
      <c r="BC15" s="40">
        <f>IFERROR(EXP((U15-0.354)/(0.354*(1-0.354))),"")</f>
        <v/>
      </c>
      <c r="BD15" s="40">
        <f>IFERROR(AW15,"")</f>
        <v/>
      </c>
      <c r="BE15" s="40">
        <f>IFERROR(EXP((AX15-0.75)/(0.75*(1-0.75))),"")</f>
        <v/>
      </c>
      <c r="BF15" s="40">
        <f>IFERROR(EXP((AY15-0.5)/(0.5*(1-0.5))),"")</f>
        <v/>
      </c>
      <c r="BG15" s="40">
        <f>IFERROR(BA15*BB15*BC15*BD15*BE15*BF15,"")</f>
        <v/>
      </c>
      <c r="BH15" s="40">
        <f>IFERROR(BG15/(1+BG15),"")</f>
        <v/>
      </c>
      <c r="BI15" s="40">
        <f>IFERROR(IF(BH15&gt;=1,1E9,BH15/(1-BH15)),"")</f>
        <v/>
      </c>
      <c r="BJ15" s="40">
        <f>IFERROR(EXP((AC15-0.372)/(0.372*(1-0.372))),"")</f>
        <v/>
      </c>
      <c r="BK15" s="40">
        <f>IFERROR(EXP((AK15-0.415)/(0.415*(1-0.415))),"")</f>
        <v/>
      </c>
      <c r="BL15" s="40">
        <f>IFERROR(EXP((AT15-0.405)/(0.405*(1-0.405))),"")</f>
        <v/>
      </c>
      <c r="BM15" s="40">
        <f>IFERROR(BI15*BJ15*BK15*BL15,"")</f>
        <v/>
      </c>
      <c r="BN15" s="40">
        <f>IFERROR(BM15/(1+BM15),"")</f>
        <v/>
      </c>
      <c r="BO15" s="40">
        <f>IFERROR(IF(AC15&gt;=1,0.999,1-EXP(1-(1-AC15)^(-0.8))),"")</f>
        <v/>
      </c>
      <c r="BP15" s="40">
        <f>IFERROR(IF(AK15&gt;=1,0.999,1-EXP(1-(1-AK15)^(-0.75))),"")</f>
        <v/>
      </c>
      <c r="BQ15" s="40">
        <f>IFERROR(1-EXP(-AL15*(1+AL15)),"")</f>
        <v/>
      </c>
      <c r="BR15" s="40">
        <f>IFERROR(BQ15^(1-AO15)*AP15*(4*AQ15*(1-AQ15))*AR15^1.15,"")</f>
        <v/>
      </c>
      <c r="BS15" s="40">
        <f>IFERROR(IF(BR15^(1/3)&gt;=1,0.999,1-EXP(1-(1-BR15^(1/3))^(-0.7))),"")</f>
        <v/>
      </c>
      <c r="BT15" s="40">
        <f>1</f>
        <v/>
      </c>
      <c r="BU15" s="40">
        <f>IFERROR(EXP((BO15-0.372)/(0.372*(1-0.372))),"")</f>
        <v/>
      </c>
      <c r="BV15" s="40">
        <f>IFERROR(EXP((BP15-0.415)/(0.415*(1-0.415))),"")</f>
        <v/>
      </c>
      <c r="BW15" s="40">
        <f>IFERROR(EXP((BS15-0.405)/(0.405*(1-0.405))),"")</f>
        <v/>
      </c>
      <c r="BX15" s="40">
        <f>IFERROR(BT15*BU15*BV15*BW15,"")</f>
        <v/>
      </c>
      <c r="BY15" s="40">
        <f>IFERROR(BX15/(1+BX15),"")</f>
        <v/>
      </c>
      <c r="BZ15" s="40">
        <f>IFERROR(EXP(0.15*(SQRT(BH15)-0.5)/(0.5*0.5)),"")</f>
        <v/>
      </c>
      <c r="CA15" s="40">
        <f>IFERROR(IF(BY15&gt;=1,1E9,BY15/(1-BY15)*BZ15),"")</f>
        <v/>
      </c>
      <c r="CB15" s="40">
        <f>IFERROR(CA15/(1+CA15),"")</f>
        <v/>
      </c>
      <c r="CC15" s="42">
        <f>BH15</f>
        <v/>
      </c>
      <c r="CD15" s="42">
        <f>BN15</f>
        <v/>
      </c>
      <c r="CE15" s="42">
        <f>CB15</f>
        <v/>
      </c>
      <c r="CF15" s="43" t="inlineStr">
        <is>
          <t>True. Medium-high awareness. Details not well known - N_raw moderate.</t>
        </is>
      </c>
    </row>
    <row r="16" ht="40" customHeight="1">
      <c r="A16" s="37" t="n">
        <v>14</v>
      </c>
      <c r="B16" s="38" t="inlineStr">
        <is>
          <t>Morocco's infant mortality rate has dropped dramatically over the past few decades — one of the country's real, underappreciated health successes.</t>
        </is>
      </c>
      <c r="C16" s="37" t="inlineStr">
        <is>
          <t>Health</t>
        </is>
      </c>
      <c r="D16" s="39" t="n">
        <v>0.78</v>
      </c>
      <c r="E16" s="39" t="n">
        <v>0.78</v>
      </c>
      <c r="F16" s="39" t="n">
        <v>0.68</v>
      </c>
      <c r="G16" s="39" t="n">
        <v>0.75</v>
      </c>
      <c r="H16" s="40">
        <f>IFERROR(AVERAGE(D16,E16,F16,G16),"")</f>
        <v/>
      </c>
      <c r="I16" s="39" t="n">
        <v>0.75</v>
      </c>
      <c r="J16" s="39" t="n">
        <v>0.7</v>
      </c>
      <c r="K16" s="39" t="n">
        <v>0.68</v>
      </c>
      <c r="L16" s="39" t="n">
        <v>0.62</v>
      </c>
      <c r="M16" s="40">
        <f>IFERROR(AVERAGE(I16,J16,K16,L16),"")</f>
        <v/>
      </c>
      <c r="N16" s="39" t="n">
        <v>0.62</v>
      </c>
      <c r="O16" s="39" t="n">
        <v>0.68</v>
      </c>
      <c r="P16" s="40">
        <f>IFERROR(IF(H16=0,0,H16^(H16^(-0.5)))*SQRT(M16)*((4*N16+O16)/5),"")</f>
        <v/>
      </c>
      <c r="Q16" s="39" t="n">
        <v>0.48</v>
      </c>
      <c r="R16" s="39" t="n">
        <v>0.9</v>
      </c>
      <c r="S16" s="39" t="n">
        <v>0.88</v>
      </c>
      <c r="T16" s="39" t="n">
        <v>0.78</v>
      </c>
      <c r="U16" s="40">
        <f>IFERROR(((Q16^1.4+T16)/2)*R16*(1-EXP(-4.605*S16)),"")</f>
        <v/>
      </c>
      <c r="V16" s="39" t="n">
        <v>0.6</v>
      </c>
      <c r="W16" s="39" t="n">
        <v>0.65</v>
      </c>
      <c r="X16" s="39" t="n">
        <v>0.6</v>
      </c>
      <c r="Y16" s="39" t="n">
        <v>0.65</v>
      </c>
      <c r="Z16" s="39" t="n">
        <v>0.52</v>
      </c>
      <c r="AA16" s="39" t="n">
        <v>0.65</v>
      </c>
      <c r="AB16" s="40">
        <f>IFERROR(Z16*(Y16*AA16^1.1)^1.1*((3*V16+2*W16+X16)/6)^0.5,"")</f>
        <v/>
      </c>
      <c r="AC16" s="40">
        <f>IFERROR(SQRT(AB16),"")</f>
        <v/>
      </c>
      <c r="AD16" s="39" t="n">
        <v>0.58</v>
      </c>
      <c r="AE16" s="39" t="n">
        <v>0.42</v>
      </c>
      <c r="AF16" s="40">
        <f>IFERROR(AE16*(1-AE16*H16),"")</f>
        <v/>
      </c>
      <c r="AG16" s="39" t="n">
        <v>0.58</v>
      </c>
      <c r="AH16" s="39" t="n">
        <v>0.72</v>
      </c>
      <c r="AI16" s="39" t="n">
        <v>0.6</v>
      </c>
      <c r="AJ16" s="40">
        <f>IFERROR(AH16^2.1*AG16^0.2*(2*AF16+3*AI16+AD16)/6,"")</f>
        <v/>
      </c>
      <c r="AK16" s="40">
        <f>IFERROR(SQRT(AJ16),"")</f>
        <v/>
      </c>
      <c r="AL16" s="39" t="n">
        <v>0.5</v>
      </c>
      <c r="AM16" s="40">
        <f>IFERROR(1-EXP(-AL16),"")</f>
        <v/>
      </c>
      <c r="AN16" s="40">
        <f>IFERROR(4.18*AM16^0.7*(1-AM16)^1.5,"")</f>
        <v/>
      </c>
      <c r="AO16" s="39" t="n">
        <v>0.65</v>
      </c>
      <c r="AP16" s="39" t="n">
        <v>0.48</v>
      </c>
      <c r="AQ16" s="39" t="n">
        <v>0.52</v>
      </c>
      <c r="AR16" s="39" t="n">
        <v>0.35</v>
      </c>
      <c r="AS16" s="40">
        <f>IFERROR(AN16^(1-AO16)*AP16*(4*AQ16*(1-AQ16))*AR16^1.15,"")</f>
        <v/>
      </c>
      <c r="AT16" s="40">
        <f>IFERROR(AS16^(1/3),"")</f>
        <v/>
      </c>
      <c r="AU16" s="39" t="n">
        <v>2.5</v>
      </c>
      <c r="AV16" s="39" t="n">
        <v>3</v>
      </c>
      <c r="AW16" s="40">
        <f>IFERROR(IF(AV16&lt;=1,AU16,AU16*(1+(AV16-1)*0.6)),"")</f>
        <v/>
      </c>
      <c r="AX16" s="39" t="n">
        <v>0.9</v>
      </c>
      <c r="AY16" s="39" t="n">
        <v>0.5</v>
      </c>
      <c r="AZ16" s="41" t="n">
        <v>0.5</v>
      </c>
      <c r="BA16" s="40">
        <f>IFERROR(AZ16/(1-AZ16),"")</f>
        <v/>
      </c>
      <c r="BB16" s="40">
        <f>IFERROR(EXP((P16-0.301)/(0.301*(1-0.301))),"")</f>
        <v/>
      </c>
      <c r="BC16" s="40">
        <f>IFERROR(EXP((U16-0.354)/(0.354*(1-0.354))),"")</f>
        <v/>
      </c>
      <c r="BD16" s="40">
        <f>IFERROR(AW16,"")</f>
        <v/>
      </c>
      <c r="BE16" s="40">
        <f>IFERROR(EXP((AX16-0.75)/(0.75*(1-0.75))),"")</f>
        <v/>
      </c>
      <c r="BF16" s="40">
        <f>IFERROR(EXP((AY16-0.5)/(0.5*(1-0.5))),"")</f>
        <v/>
      </c>
      <c r="BG16" s="40">
        <f>IFERROR(BA16*BB16*BC16*BD16*BE16*BF16,"")</f>
        <v/>
      </c>
      <c r="BH16" s="40">
        <f>IFERROR(BG16/(1+BG16),"")</f>
        <v/>
      </c>
      <c r="BI16" s="40">
        <f>IFERROR(IF(BH16&gt;=1,1E9,BH16/(1-BH16)),"")</f>
        <v/>
      </c>
      <c r="BJ16" s="40">
        <f>IFERROR(EXP((AC16-0.372)/(0.372*(1-0.372))),"")</f>
        <v/>
      </c>
      <c r="BK16" s="40">
        <f>IFERROR(EXP((AK16-0.415)/(0.415*(1-0.415))),"")</f>
        <v/>
      </c>
      <c r="BL16" s="40">
        <f>IFERROR(EXP((AT16-0.405)/(0.405*(1-0.405))),"")</f>
        <v/>
      </c>
      <c r="BM16" s="40">
        <f>IFERROR(BI16*BJ16*BK16*BL16,"")</f>
        <v/>
      </c>
      <c r="BN16" s="40">
        <f>IFERROR(BM16/(1+BM16),"")</f>
        <v/>
      </c>
      <c r="BO16" s="40">
        <f>IFERROR(IF(AC16&gt;=1,0.999,1-EXP(1-(1-AC16)^(-0.8))),"")</f>
        <v/>
      </c>
      <c r="BP16" s="40">
        <f>IFERROR(IF(AK16&gt;=1,0.999,1-EXP(1-(1-AK16)^(-0.75))),"")</f>
        <v/>
      </c>
      <c r="BQ16" s="40">
        <f>IFERROR(1-EXP(-AL16*(1+AL16)),"")</f>
        <v/>
      </c>
      <c r="BR16" s="40">
        <f>IFERROR(BQ16^(1-AO16)*AP16*(4*AQ16*(1-AQ16))*AR16^1.15,"")</f>
        <v/>
      </c>
      <c r="BS16" s="40">
        <f>IFERROR(IF(BR16^(1/3)&gt;=1,0.999,1-EXP(1-(1-BR16^(1/3))^(-0.7))),"")</f>
        <v/>
      </c>
      <c r="BT16" s="40">
        <f>1</f>
        <v/>
      </c>
      <c r="BU16" s="40">
        <f>IFERROR(EXP((BO16-0.372)/(0.372*(1-0.372))),"")</f>
        <v/>
      </c>
      <c r="BV16" s="40">
        <f>IFERROR(EXP((BP16-0.415)/(0.415*(1-0.415))),"")</f>
        <v/>
      </c>
      <c r="BW16" s="40">
        <f>IFERROR(EXP((BS16-0.405)/(0.405*(1-0.405))),"")</f>
        <v/>
      </c>
      <c r="BX16" s="40">
        <f>IFERROR(BT16*BU16*BV16*BW16,"")</f>
        <v/>
      </c>
      <c r="BY16" s="40">
        <f>IFERROR(BX16/(1+BX16),"")</f>
        <v/>
      </c>
      <c r="BZ16" s="40">
        <f>IFERROR(EXP(0.15*(SQRT(BH16)-0.5)/(0.5*0.5)),"")</f>
        <v/>
      </c>
      <c r="CA16" s="40">
        <f>IFERROR(IF(BY16&gt;=1,1E9,BY16/(1-BY16)*BZ16),"")</f>
        <v/>
      </c>
      <c r="CB16" s="40">
        <f>IFERROR(CA16/(1+CA16),"")</f>
        <v/>
      </c>
      <c r="CC16" s="42">
        <f>BH16</f>
        <v/>
      </c>
      <c r="CD16" s="42">
        <f>BN16</f>
        <v/>
      </c>
      <c r="CE16" s="42">
        <f>CB16</f>
        <v/>
      </c>
      <c r="CF16" s="43" t="inlineStr">
        <is>
          <t>True. Common sense direction. Low personal consequence for daily life.</t>
        </is>
      </c>
    </row>
    <row r="17" ht="40" customHeight="1">
      <c r="A17" s="37" t="n">
        <v>15</v>
      </c>
      <c r="B17" s="38" t="inlineStr">
        <is>
          <t>A woman who takes the contraceptive pill for years will have significant difficulty getting pregnant after stopping.</t>
        </is>
      </c>
      <c r="C17" s="37" t="inlineStr">
        <is>
          <t>Health</t>
        </is>
      </c>
      <c r="D17" s="39" t="n">
        <v>0.78</v>
      </c>
      <c r="E17" s="39" t="n">
        <v>0.78</v>
      </c>
      <c r="F17" s="39" t="n">
        <v>0.78</v>
      </c>
      <c r="G17" s="39" t="n">
        <v>0.78</v>
      </c>
      <c r="H17" s="40">
        <f>IFERROR(AVERAGE(D17,E17,F17,G17),"")</f>
        <v/>
      </c>
      <c r="I17" s="39" t="n">
        <v>0.25</v>
      </c>
      <c r="J17" s="39" t="n">
        <v>0.2</v>
      </c>
      <c r="K17" s="39" t="n">
        <v>0.15</v>
      </c>
      <c r="L17" s="39" t="n">
        <v>0.18</v>
      </c>
      <c r="M17" s="40">
        <f>IFERROR(AVERAGE(I17,J17,K17,L17),"")</f>
        <v/>
      </c>
      <c r="N17" s="39" t="n">
        <v>0.38</v>
      </c>
      <c r="O17" s="39" t="n">
        <v>0.62</v>
      </c>
      <c r="P17" s="40">
        <f>IFERROR(IF(H17=0,0,H17^(H17^(-0.5)))*SQRT(M17)*((4*N17+O17)/5),"")</f>
        <v/>
      </c>
      <c r="Q17" s="39" t="n">
        <v>0.42</v>
      </c>
      <c r="R17" s="39" t="n">
        <v>0.68</v>
      </c>
      <c r="S17" s="39" t="n">
        <v>0.8</v>
      </c>
      <c r="T17" s="39" t="n">
        <v>0.65</v>
      </c>
      <c r="U17" s="40">
        <f>IFERROR(((Q17^1.4+T17)/2)*R17*(1-EXP(-4.605*S17)),"")</f>
        <v/>
      </c>
      <c r="V17" s="39" t="n">
        <v>0.58</v>
      </c>
      <c r="W17" s="39" t="n">
        <v>0.62</v>
      </c>
      <c r="X17" s="39" t="n">
        <v>0.6</v>
      </c>
      <c r="Y17" s="39" t="n">
        <v>0.58</v>
      </c>
      <c r="Z17" s="39" t="n">
        <v>0.4</v>
      </c>
      <c r="AA17" s="39" t="n">
        <v>0.65</v>
      </c>
      <c r="AB17" s="40">
        <f>IFERROR(Z17*(Y17*AA17^1.1)^1.1*((3*V17+2*W17+X17)/6)^0.5,"")</f>
        <v/>
      </c>
      <c r="AC17" s="40">
        <f>IFERROR(SQRT(AB17),"")</f>
        <v/>
      </c>
      <c r="AD17" s="39" t="n">
        <v>0.58</v>
      </c>
      <c r="AE17" s="39" t="n">
        <v>0.25</v>
      </c>
      <c r="AF17" s="40">
        <f>IFERROR(AE17*(1-AE17*H17),"")</f>
        <v/>
      </c>
      <c r="AG17" s="39" t="n">
        <v>0.58</v>
      </c>
      <c r="AH17" s="39" t="n">
        <v>0.62</v>
      </c>
      <c r="AI17" s="39" t="n">
        <v>0.65</v>
      </c>
      <c r="AJ17" s="40">
        <f>IFERROR(AH17^2.1*AG17^0.2*(2*AF17+3*AI17+AD17)/6,"")</f>
        <v/>
      </c>
      <c r="AK17" s="40">
        <f>IFERROR(SQRT(AJ17),"")</f>
        <v/>
      </c>
      <c r="AL17" s="39" t="n">
        <v>0.55</v>
      </c>
      <c r="AM17" s="40">
        <f>IFERROR(1-EXP(-AL17),"")</f>
        <v/>
      </c>
      <c r="AN17" s="40">
        <f>IFERROR(4.18*AM17^0.7*(1-AM17)^1.5,"")</f>
        <v/>
      </c>
      <c r="AO17" s="39" t="n">
        <v>0.65</v>
      </c>
      <c r="AP17" s="39" t="n">
        <v>0.48</v>
      </c>
      <c r="AQ17" s="39" t="n">
        <v>0.58</v>
      </c>
      <c r="AR17" s="39" t="n">
        <v>0.72</v>
      </c>
      <c r="AS17" s="40">
        <f>IFERROR(AN17^(1-AO17)*AP17*(4*AQ17*(1-AQ17))*AR17^1.15,"")</f>
        <v/>
      </c>
      <c r="AT17" s="40">
        <f>IFERROR(AS17^(1/3),"")</f>
        <v/>
      </c>
      <c r="AU17" s="39" t="n">
        <v>1</v>
      </c>
      <c r="AV17" s="39" t="n">
        <v>1</v>
      </c>
      <c r="AW17" s="40">
        <f>IFERROR(IF(AV17&lt;=1,AU17,AU17*(1+(AV17-1)*0.6)),"")</f>
        <v/>
      </c>
      <c r="AX17" s="39" t="n">
        <v>0.3</v>
      </c>
      <c r="AY17" s="39" t="n">
        <v>0.08</v>
      </c>
      <c r="AZ17" s="41" t="n">
        <v>0.5</v>
      </c>
      <c r="BA17" s="40">
        <f>IFERROR(AZ17/(1-AZ17),"")</f>
        <v/>
      </c>
      <c r="BB17" s="40">
        <f>IFERROR(EXP((P17-0.301)/(0.301*(1-0.301))),"")</f>
        <v/>
      </c>
      <c r="BC17" s="40">
        <f>IFERROR(EXP((U17-0.354)/(0.354*(1-0.354))),"")</f>
        <v/>
      </c>
      <c r="BD17" s="40">
        <f>IFERROR(AW17,"")</f>
        <v/>
      </c>
      <c r="BE17" s="40">
        <f>IFERROR(EXP((AX17-0.75)/(0.75*(1-0.75))),"")</f>
        <v/>
      </c>
      <c r="BF17" s="40">
        <f>IFERROR(EXP((AY17-0.5)/(0.5*(1-0.5))),"")</f>
        <v/>
      </c>
      <c r="BG17" s="40">
        <f>IFERROR(BA17*BB17*BC17*BD17*BE17*BF17,"")</f>
        <v/>
      </c>
      <c r="BH17" s="40">
        <f>IFERROR(BG17/(1+BG17),"")</f>
        <v/>
      </c>
      <c r="BI17" s="40">
        <f>IFERROR(IF(BH17&gt;=1,1E9,BH17/(1-BH17)),"")</f>
        <v/>
      </c>
      <c r="BJ17" s="40">
        <f>IFERROR(EXP((AC17-0.372)/(0.372*(1-0.372))),"")</f>
        <v/>
      </c>
      <c r="BK17" s="40">
        <f>IFERROR(EXP((AK17-0.415)/(0.415*(1-0.415))),"")</f>
        <v/>
      </c>
      <c r="BL17" s="40">
        <f>IFERROR(EXP((AT17-0.405)/(0.405*(1-0.405))),"")</f>
        <v/>
      </c>
      <c r="BM17" s="40">
        <f>IFERROR(BI17*BJ17*BK17*BL17,"")</f>
        <v/>
      </c>
      <c r="BN17" s="40">
        <f>IFERROR(BM17/(1+BM17),"")</f>
        <v/>
      </c>
      <c r="BO17" s="40">
        <f>IFERROR(IF(AC17&gt;=1,0.999,1-EXP(1-(1-AC17)^(-0.8))),"")</f>
        <v/>
      </c>
      <c r="BP17" s="40">
        <f>IFERROR(IF(AK17&gt;=1,0.999,1-EXP(1-(1-AK17)^(-0.75))),"")</f>
        <v/>
      </c>
      <c r="BQ17" s="40">
        <f>IFERROR(1-EXP(-AL17*(1+AL17)),"")</f>
        <v/>
      </c>
      <c r="BR17" s="40">
        <f>IFERROR(BQ17^(1-AO17)*AP17*(4*AQ17*(1-AQ17))*AR17^1.15,"")</f>
        <v/>
      </c>
      <c r="BS17" s="40">
        <f>IFERROR(IF(BR17^(1/3)&gt;=1,0.999,1-EXP(1-(1-BR17^(1/3))^(-0.7))),"")</f>
        <v/>
      </c>
      <c r="BT17" s="40">
        <f>1</f>
        <v/>
      </c>
      <c r="BU17" s="40">
        <f>IFERROR(EXP((BO17-0.372)/(0.372*(1-0.372))),"")</f>
        <v/>
      </c>
      <c r="BV17" s="40">
        <f>IFERROR(EXP((BP17-0.415)/(0.415*(1-0.415))),"")</f>
        <v/>
      </c>
      <c r="BW17" s="40">
        <f>IFERROR(EXP((BS17-0.405)/(0.405*(1-0.405))),"")</f>
        <v/>
      </c>
      <c r="BX17" s="40">
        <f>IFERROR(BT17*BU17*BV17*BW17,"")</f>
        <v/>
      </c>
      <c r="BY17" s="40">
        <f>IFERROR(BX17/(1+BX17),"")</f>
        <v/>
      </c>
      <c r="BZ17" s="40">
        <f>IFERROR(EXP(0.15*(SQRT(BH17)-0.5)/(0.5*0.5)),"")</f>
        <v/>
      </c>
      <c r="CA17" s="40">
        <f>IFERROR(IF(BY17&gt;=1,1E9,BY17/(1-BY17)*BZ17),"")</f>
        <v/>
      </c>
      <c r="CB17" s="40">
        <f>IFERROR(CA17/(1+CA17),"")</f>
        <v/>
      </c>
      <c r="CC17" s="42">
        <f>BH17</f>
        <v/>
      </c>
      <c r="CD17" s="42">
        <f>BN17</f>
        <v/>
      </c>
      <c r="CE17" s="42">
        <f>CB17</f>
        <v/>
      </c>
      <c r="CF17" s="43" t="inlineStr">
        <is>
          <t>False. Pretty strong belief, old. AB_r moderate - some pushback.</t>
        </is>
      </c>
    </row>
    <row r="18" ht="40" customHeight="1">
      <c r="A18" s="37" t="n">
        <v>16</v>
      </c>
      <c r="B18" s="38" t="inlineStr">
        <is>
          <t>Raw milk from a local farm is healthier and safer than pasteurized supermarket milk.</t>
        </is>
      </c>
      <c r="C18" s="37" t="inlineStr">
        <is>
          <t>Health</t>
        </is>
      </c>
      <c r="D18" s="39" t="n">
        <v>0.78</v>
      </c>
      <c r="E18" s="39" t="n">
        <v>0.78</v>
      </c>
      <c r="F18" s="39" t="n">
        <v>0.78</v>
      </c>
      <c r="G18" s="39" t="n">
        <v>0.78</v>
      </c>
      <c r="H18" s="40">
        <f>IFERROR(AVERAGE(D18,E18,F18,G18),"")</f>
        <v/>
      </c>
      <c r="I18" s="39" t="n">
        <v>0.22</v>
      </c>
      <c r="J18" s="39" t="n">
        <v>0.18</v>
      </c>
      <c r="K18" s="39" t="n">
        <v>0.15</v>
      </c>
      <c r="L18" s="39" t="n">
        <v>0.18</v>
      </c>
      <c r="M18" s="40">
        <f>IFERROR(AVERAGE(I18,J18,K18,L18),"")</f>
        <v/>
      </c>
      <c r="N18" s="39" t="n">
        <v>0.32</v>
      </c>
      <c r="O18" s="39" t="n">
        <v>0.62</v>
      </c>
      <c r="P18" s="40">
        <f>IFERROR(IF(H18=0,0,H18^(H18^(-0.5)))*SQRT(M18)*((4*N18+O18)/5),"")</f>
        <v/>
      </c>
      <c r="Q18" s="39" t="n">
        <v>0.4</v>
      </c>
      <c r="R18" s="39" t="n">
        <v>0.65</v>
      </c>
      <c r="S18" s="39" t="n">
        <v>0.78</v>
      </c>
      <c r="T18" s="39" t="n">
        <v>0.62</v>
      </c>
      <c r="U18" s="40">
        <f>IFERROR(((Q18^1.4+T18)/2)*R18*(1-EXP(-4.605*S18)),"")</f>
        <v/>
      </c>
      <c r="V18" s="39" t="n">
        <v>0.55</v>
      </c>
      <c r="W18" s="39" t="n">
        <v>0.6</v>
      </c>
      <c r="X18" s="39" t="n">
        <v>0.6</v>
      </c>
      <c r="Y18" s="39" t="n">
        <v>0.58</v>
      </c>
      <c r="Z18" s="39" t="n">
        <v>0.38</v>
      </c>
      <c r="AA18" s="39" t="n">
        <v>0.68</v>
      </c>
      <c r="AB18" s="40">
        <f>IFERROR(Z18*(Y18*AA18^1.1)^1.1*((3*V18+2*W18+X18)/6)^0.5,"")</f>
        <v/>
      </c>
      <c r="AC18" s="40">
        <f>IFERROR(SQRT(AB18),"")</f>
        <v/>
      </c>
      <c r="AD18" s="39" t="n">
        <v>0.55</v>
      </c>
      <c r="AE18" s="39" t="n">
        <v>0.22</v>
      </c>
      <c r="AF18" s="40">
        <f>IFERROR(AE18*(1-AE18*H18),"")</f>
        <v/>
      </c>
      <c r="AG18" s="39" t="n">
        <v>0.55</v>
      </c>
      <c r="AH18" s="39" t="n">
        <v>0.62</v>
      </c>
      <c r="AI18" s="39" t="n">
        <v>0.58</v>
      </c>
      <c r="AJ18" s="40">
        <f>IFERROR(AH18^2.1*AG18^0.2*(2*AF18+3*AI18+AD18)/6,"")</f>
        <v/>
      </c>
      <c r="AK18" s="40">
        <f>IFERROR(SQRT(AJ18),"")</f>
        <v/>
      </c>
      <c r="AL18" s="39" t="n">
        <v>0.35</v>
      </c>
      <c r="AM18" s="40">
        <f>IFERROR(1-EXP(-AL18),"")</f>
        <v/>
      </c>
      <c r="AN18" s="40">
        <f>IFERROR(4.18*AM18^0.7*(1-AM18)^1.5,"")</f>
        <v/>
      </c>
      <c r="AO18" s="39" t="n">
        <v>0.65</v>
      </c>
      <c r="AP18" s="39" t="n">
        <v>0.45</v>
      </c>
      <c r="AQ18" s="39" t="n">
        <v>0.55</v>
      </c>
      <c r="AR18" s="39" t="n">
        <v>0.6</v>
      </c>
      <c r="AS18" s="40">
        <f>IFERROR(AN18^(1-AO18)*AP18*(4*AQ18*(1-AQ18))*AR18^1.15,"")</f>
        <v/>
      </c>
      <c r="AT18" s="40">
        <f>IFERROR(AS18^(1/3),"")</f>
        <v/>
      </c>
      <c r="AU18" s="39" t="n">
        <v>1</v>
      </c>
      <c r="AV18" s="39" t="n">
        <v>1</v>
      </c>
      <c r="AW18" s="40">
        <f>IFERROR(IF(AV18&lt;=1,AU18,AU18*(1+(AV18-1)*0.6)),"")</f>
        <v/>
      </c>
      <c r="AX18" s="39" t="n">
        <v>0.28</v>
      </c>
      <c r="AY18" s="39" t="n">
        <v>0.08</v>
      </c>
      <c r="AZ18" s="41" t="n">
        <v>0.5</v>
      </c>
      <c r="BA18" s="40">
        <f>IFERROR(AZ18/(1-AZ18),"")</f>
        <v/>
      </c>
      <c r="BB18" s="40">
        <f>IFERROR(EXP((P18-0.301)/(0.301*(1-0.301))),"")</f>
        <v/>
      </c>
      <c r="BC18" s="40">
        <f>IFERROR(EXP((U18-0.354)/(0.354*(1-0.354))),"")</f>
        <v/>
      </c>
      <c r="BD18" s="40">
        <f>IFERROR(AW18,"")</f>
        <v/>
      </c>
      <c r="BE18" s="40">
        <f>IFERROR(EXP((AX18-0.75)/(0.75*(1-0.75))),"")</f>
        <v/>
      </c>
      <c r="BF18" s="40">
        <f>IFERROR(EXP((AY18-0.5)/(0.5*(1-0.5))),"")</f>
        <v/>
      </c>
      <c r="BG18" s="40">
        <f>IFERROR(BA18*BB18*BC18*BD18*BE18*BF18,"")</f>
        <v/>
      </c>
      <c r="BH18" s="40">
        <f>IFERROR(BG18/(1+BG18),"")</f>
        <v/>
      </c>
      <c r="BI18" s="40">
        <f>IFERROR(IF(BH18&gt;=1,1E9,BH18/(1-BH18)),"")</f>
        <v/>
      </c>
      <c r="BJ18" s="40">
        <f>IFERROR(EXP((AC18-0.372)/(0.372*(1-0.372))),"")</f>
        <v/>
      </c>
      <c r="BK18" s="40">
        <f>IFERROR(EXP((AK18-0.415)/(0.415*(1-0.415))),"")</f>
        <v/>
      </c>
      <c r="BL18" s="40">
        <f>IFERROR(EXP((AT18-0.405)/(0.405*(1-0.405))),"")</f>
        <v/>
      </c>
      <c r="BM18" s="40">
        <f>IFERROR(BI18*BJ18*BK18*BL18,"")</f>
        <v/>
      </c>
      <c r="BN18" s="40">
        <f>IFERROR(BM18/(1+BM18),"")</f>
        <v/>
      </c>
      <c r="BO18" s="40">
        <f>IFERROR(IF(AC18&gt;=1,0.999,1-EXP(1-(1-AC18)^(-0.8))),"")</f>
        <v/>
      </c>
      <c r="BP18" s="40">
        <f>IFERROR(IF(AK18&gt;=1,0.999,1-EXP(1-(1-AK18)^(-0.75))),"")</f>
        <v/>
      </c>
      <c r="BQ18" s="40">
        <f>IFERROR(1-EXP(-AL18*(1+AL18)),"")</f>
        <v/>
      </c>
      <c r="BR18" s="40">
        <f>IFERROR(BQ18^(1-AO18)*AP18*(4*AQ18*(1-AQ18))*AR18^1.15,"")</f>
        <v/>
      </c>
      <c r="BS18" s="40">
        <f>IFERROR(IF(BR18^(1/3)&gt;=1,0.999,1-EXP(1-(1-BR18^(1/3))^(-0.7))),"")</f>
        <v/>
      </c>
      <c r="BT18" s="40">
        <f>1</f>
        <v/>
      </c>
      <c r="BU18" s="40">
        <f>IFERROR(EXP((BO18-0.372)/(0.372*(1-0.372))),"")</f>
        <v/>
      </c>
      <c r="BV18" s="40">
        <f>IFERROR(EXP((BP18-0.415)/(0.415*(1-0.415))),"")</f>
        <v/>
      </c>
      <c r="BW18" s="40">
        <f>IFERROR(EXP((BS18-0.405)/(0.405*(1-0.405))),"")</f>
        <v/>
      </c>
      <c r="BX18" s="40">
        <f>IFERROR(BT18*BU18*BV18*BW18,"")</f>
        <v/>
      </c>
      <c r="BY18" s="40">
        <f>IFERROR(BX18/(1+BX18),"")</f>
        <v/>
      </c>
      <c r="BZ18" s="40">
        <f>IFERROR(EXP(0.15*(SQRT(BH18)-0.5)/(0.5*0.5)),"")</f>
        <v/>
      </c>
      <c r="CA18" s="40">
        <f>IFERROR(IF(BY18&gt;=1,1E9,BY18/(1-BY18)*BZ18),"")</f>
        <v/>
      </c>
      <c r="CB18" s="40">
        <f>IFERROR(CA18/(1+CA18),"")</f>
        <v/>
      </c>
      <c r="CC18" s="42">
        <f>BH18</f>
        <v/>
      </c>
      <c r="CD18" s="42">
        <f>BN18</f>
        <v/>
      </c>
      <c r="CE18" s="42">
        <f>CB18</f>
        <v/>
      </c>
      <c r="CF18" s="43" t="inlineStr">
        <is>
          <t>False. Old+new belief. Familiar enough that N_raw low.</t>
        </is>
      </c>
    </row>
    <row r="19" ht="40" customHeight="1">
      <c r="A19" s="44" t="n">
        <v>17</v>
      </c>
      <c r="B19" s="45" t="inlineStr">
        <is>
          <t>The buying power of the average Moroccan family has significantly declined in recent years.</t>
        </is>
      </c>
      <c r="C19" s="44" t="inlineStr">
        <is>
          <t>Economics</t>
        </is>
      </c>
      <c r="D19" s="39" t="n">
        <v>0.9</v>
      </c>
      <c r="E19" s="39" t="n">
        <v>0.9</v>
      </c>
      <c r="F19" s="39" t="n">
        <v>0.88</v>
      </c>
      <c r="G19" s="39" t="n">
        <v>0.9</v>
      </c>
      <c r="H19" s="40">
        <f>IFERROR(AVERAGE(D19,E19,F19,G19),"")</f>
        <v/>
      </c>
      <c r="I19" s="39" t="n">
        <v>0.75</v>
      </c>
      <c r="J19" s="39" t="n">
        <v>0.7</v>
      </c>
      <c r="K19" s="39" t="n">
        <v>0.72</v>
      </c>
      <c r="L19" s="39" t="n">
        <v>0.68</v>
      </c>
      <c r="M19" s="40">
        <f>IFERROR(AVERAGE(I19,J19,K19,L19),"")</f>
        <v/>
      </c>
      <c r="N19" s="39" t="n">
        <v>0.58</v>
      </c>
      <c r="O19" s="39" t="n">
        <v>0.85</v>
      </c>
      <c r="P19" s="40">
        <f>IFERROR(IF(H19=0,0,H19^(H19^(-0.5)))*SQRT(M19)*((4*N19+O19)/5),"")</f>
        <v/>
      </c>
      <c r="Q19" s="39" t="n">
        <v>0.28</v>
      </c>
      <c r="R19" s="39" t="n">
        <v>0.92</v>
      </c>
      <c r="S19" s="39" t="n">
        <v>0.88</v>
      </c>
      <c r="T19" s="39" t="n">
        <v>0.85</v>
      </c>
      <c r="U19" s="40">
        <f>IFERROR(((Q19^1.4+T19)/2)*R19*(1-EXP(-4.605*S19)),"")</f>
        <v/>
      </c>
      <c r="V19" s="39" t="n">
        <v>0.68</v>
      </c>
      <c r="W19" s="39" t="n">
        <v>0.72</v>
      </c>
      <c r="X19" s="39" t="n">
        <v>0.6</v>
      </c>
      <c r="Y19" s="39" t="n">
        <v>0.75</v>
      </c>
      <c r="Z19" s="39" t="n">
        <v>0.48</v>
      </c>
      <c r="AA19" s="39" t="n">
        <v>0.75</v>
      </c>
      <c r="AB19" s="40">
        <f>IFERROR(Z19*(Y19*AA19^1.1)^1.1*((3*V19+2*W19+X19)/6)^0.5,"")</f>
        <v/>
      </c>
      <c r="AC19" s="40">
        <f>IFERROR(SQRT(AB19),"")</f>
        <v/>
      </c>
      <c r="AD19" s="39" t="n">
        <v>0.72</v>
      </c>
      <c r="AE19" s="39" t="n">
        <v>0.55</v>
      </c>
      <c r="AF19" s="40">
        <f>IFERROR(AE19*(1-AE19*H19),"")</f>
        <v/>
      </c>
      <c r="AG19" s="39" t="n">
        <v>0.68</v>
      </c>
      <c r="AH19" s="39" t="n">
        <v>0.88</v>
      </c>
      <c r="AI19" s="39" t="n">
        <v>0.8</v>
      </c>
      <c r="AJ19" s="40">
        <f>IFERROR(AH19^2.1*AG19^0.2*(2*AF19+3*AI19+AD19)/6,"")</f>
        <v/>
      </c>
      <c r="AK19" s="40">
        <f>IFERROR(SQRT(AJ19),"")</f>
        <v/>
      </c>
      <c r="AL19" s="39" t="n">
        <v>0.15</v>
      </c>
      <c r="AM19" s="40">
        <f>IFERROR(1-EXP(-AL19),"")</f>
        <v/>
      </c>
      <c r="AN19" s="40">
        <f>IFERROR(4.18*AM19^0.7*(1-AM19)^1.5,"")</f>
        <v/>
      </c>
      <c r="AO19" s="39" t="n">
        <v>0.75</v>
      </c>
      <c r="AP19" s="39" t="n">
        <v>0.52</v>
      </c>
      <c r="AQ19" s="39" t="n">
        <v>0.65</v>
      </c>
      <c r="AR19" s="39" t="n">
        <v>0.9</v>
      </c>
      <c r="AS19" s="40">
        <f>IFERROR(AN19^(1-AO19)*AP19*(4*AQ19*(1-AQ19))*AR19^1.15,"")</f>
        <v/>
      </c>
      <c r="AT19" s="40">
        <f>IFERROR(AS19^(1/3),"")</f>
        <v/>
      </c>
      <c r="AU19" s="39" t="n">
        <v>1.8</v>
      </c>
      <c r="AV19" s="39" t="n">
        <v>3</v>
      </c>
      <c r="AW19" s="40">
        <f>IFERROR(IF(AV19&lt;=1,AU19,AU19*(1+(AV19-1)*0.6)),"")</f>
        <v/>
      </c>
      <c r="AX19" s="39" t="n">
        <v>0.88</v>
      </c>
      <c r="AY19" s="39" t="n">
        <v>0.45</v>
      </c>
      <c r="AZ19" s="41" t="n">
        <v>0.5</v>
      </c>
      <c r="BA19" s="40">
        <f>IFERROR(AZ19/(1-AZ19),"")</f>
        <v/>
      </c>
      <c r="BB19" s="40">
        <f>IFERROR(EXP((P19-0.301)/(0.301*(1-0.301))),"")</f>
        <v/>
      </c>
      <c r="BC19" s="40">
        <f>IFERROR(EXP((U19-0.354)/(0.354*(1-0.354))),"")</f>
        <v/>
      </c>
      <c r="BD19" s="40">
        <f>IFERROR(AW19,"")</f>
        <v/>
      </c>
      <c r="BE19" s="40">
        <f>IFERROR(EXP((AX19-0.75)/(0.75*(1-0.75))),"")</f>
        <v/>
      </c>
      <c r="BF19" s="40">
        <f>IFERROR(EXP((AY19-0.5)/(0.5*(1-0.5))),"")</f>
        <v/>
      </c>
      <c r="BG19" s="40">
        <f>IFERROR(BA19*BB19*BC19*BD19*BE19*BF19,"")</f>
        <v/>
      </c>
      <c r="BH19" s="40">
        <f>IFERROR(BG19/(1+BG19),"")</f>
        <v/>
      </c>
      <c r="BI19" s="40">
        <f>IFERROR(IF(BH19&gt;=1,1E9,BH19/(1-BH19)),"")</f>
        <v/>
      </c>
      <c r="BJ19" s="40">
        <f>IFERROR(EXP((AC19-0.372)/(0.372*(1-0.372))),"")</f>
        <v/>
      </c>
      <c r="BK19" s="40">
        <f>IFERROR(EXP((AK19-0.415)/(0.415*(1-0.415))),"")</f>
        <v/>
      </c>
      <c r="BL19" s="40">
        <f>IFERROR(EXP((AT19-0.405)/(0.405*(1-0.405))),"")</f>
        <v/>
      </c>
      <c r="BM19" s="40">
        <f>IFERROR(BI19*BJ19*BK19*BL19,"")</f>
        <v/>
      </c>
      <c r="BN19" s="40">
        <f>IFERROR(BM19/(1+BM19),"")</f>
        <v/>
      </c>
      <c r="BO19" s="40">
        <f>IFERROR(IF(AC19&gt;=1,0.999,1-EXP(1-(1-AC19)^(-0.8))),"")</f>
        <v/>
      </c>
      <c r="BP19" s="40">
        <f>IFERROR(IF(AK19&gt;=1,0.999,1-EXP(1-(1-AK19)^(-0.75))),"")</f>
        <v/>
      </c>
      <c r="BQ19" s="40">
        <f>IFERROR(1-EXP(-AL19*(1+AL19)),"")</f>
        <v/>
      </c>
      <c r="BR19" s="40">
        <f>IFERROR(BQ19^(1-AO19)*AP19*(4*AQ19*(1-AQ19))*AR19^1.15,"")</f>
        <v/>
      </c>
      <c r="BS19" s="40">
        <f>IFERROR(IF(BR19^(1/3)&gt;=1,0.999,1-EXP(1-(1-BR19^(1/3))^(-0.7))),"")</f>
        <v/>
      </c>
      <c r="BT19" s="40">
        <f>1</f>
        <v/>
      </c>
      <c r="BU19" s="40">
        <f>IFERROR(EXP((BO19-0.372)/(0.372*(1-0.372))),"")</f>
        <v/>
      </c>
      <c r="BV19" s="40">
        <f>IFERROR(EXP((BP19-0.415)/(0.415*(1-0.415))),"")</f>
        <v/>
      </c>
      <c r="BW19" s="40">
        <f>IFERROR(EXP((BS19-0.405)/(0.405*(1-0.405))),"")</f>
        <v/>
      </c>
      <c r="BX19" s="40">
        <f>IFERROR(BT19*BU19*BV19*BW19,"")</f>
        <v/>
      </c>
      <c r="BY19" s="40">
        <f>IFERROR(BX19/(1+BX19),"")</f>
        <v/>
      </c>
      <c r="BZ19" s="40">
        <f>IFERROR(EXP(0.15*(SQRT(BH19)-0.5)/(0.5*0.5)),"")</f>
        <v/>
      </c>
      <c r="CA19" s="40">
        <f>IFERROR(IF(BY19&gt;=1,1E9,BY19/(1-BY19)*BZ19),"")</f>
        <v/>
      </c>
      <c r="CB19" s="40">
        <f>IFERROR(CA19/(1+CA19),"")</f>
        <v/>
      </c>
      <c r="CC19" s="42">
        <f>BH19</f>
        <v/>
      </c>
      <c r="CD19" s="42">
        <f>BN19</f>
        <v/>
      </c>
      <c r="CE19" s="42">
        <f>CB19</f>
        <v/>
      </c>
      <c r="CF19" s="43" t="inlineStr">
        <is>
          <t>Universally felt. Undisputed. Very high personal consequence.</t>
        </is>
      </c>
    </row>
    <row r="20" ht="40" customHeight="1">
      <c r="A20" s="44" t="n">
        <v>18</v>
      </c>
      <c r="B20" s="45" t="inlineStr">
        <is>
          <t>Egg prices in Morocco nearly doubled at their peak before coming back down — a sign of how volatile food prices have become.</t>
        </is>
      </c>
      <c r="C20" s="44" t="inlineStr">
        <is>
          <t>Economics</t>
        </is>
      </c>
      <c r="D20" s="39" t="n">
        <v>0.9</v>
      </c>
      <c r="E20" s="39" t="n">
        <v>0.9</v>
      </c>
      <c r="F20" s="39" t="n">
        <v>0.88</v>
      </c>
      <c r="G20" s="39" t="n">
        <v>0.9</v>
      </c>
      <c r="H20" s="40">
        <f>IFERROR(AVERAGE(D20,E20,F20,G20),"")</f>
        <v/>
      </c>
      <c r="I20" s="39" t="n">
        <v>0.75</v>
      </c>
      <c r="J20" s="39" t="n">
        <v>0.7</v>
      </c>
      <c r="K20" s="39" t="n">
        <v>0.72</v>
      </c>
      <c r="L20" s="39" t="n">
        <v>0.68</v>
      </c>
      <c r="M20" s="40">
        <f>IFERROR(AVERAGE(I20,J20,K20,L20),"")</f>
        <v/>
      </c>
      <c r="N20" s="39" t="n">
        <v>0.58</v>
      </c>
      <c r="O20" s="39" t="n">
        <v>0.82</v>
      </c>
      <c r="P20" s="40">
        <f>IFERROR(IF(H20=0,0,H20^(H20^(-0.5)))*SQRT(M20)*((4*N20+O20)/5),"")</f>
        <v/>
      </c>
      <c r="Q20" s="39" t="n">
        <v>0.42</v>
      </c>
      <c r="R20" s="39" t="n">
        <v>0.92</v>
      </c>
      <c r="S20" s="39" t="n">
        <v>0.9</v>
      </c>
      <c r="T20" s="39" t="n">
        <v>0.88</v>
      </c>
      <c r="U20" s="40">
        <f>IFERROR(((Q20^1.4+T20)/2)*R20*(1-EXP(-4.605*S20)),"")</f>
        <v/>
      </c>
      <c r="V20" s="39" t="n">
        <v>0.68</v>
      </c>
      <c r="W20" s="39" t="n">
        <v>0.72</v>
      </c>
      <c r="X20" s="39" t="n">
        <v>0.6</v>
      </c>
      <c r="Y20" s="39" t="n">
        <v>0.75</v>
      </c>
      <c r="Z20" s="39" t="n">
        <v>0.48</v>
      </c>
      <c r="AA20" s="39" t="n">
        <v>0.72</v>
      </c>
      <c r="AB20" s="40">
        <f>IFERROR(Z20*(Y20*AA20^1.1)^1.1*((3*V20+2*W20+X20)/6)^0.5,"")</f>
        <v/>
      </c>
      <c r="AC20" s="40">
        <f>IFERROR(SQRT(AB20),"")</f>
        <v/>
      </c>
      <c r="AD20" s="39" t="n">
        <v>0.7</v>
      </c>
      <c r="AE20" s="39" t="n">
        <v>0.52</v>
      </c>
      <c r="AF20" s="40">
        <f>IFERROR(AE20*(1-AE20*H20),"")</f>
        <v/>
      </c>
      <c r="AG20" s="39" t="n">
        <v>0.65</v>
      </c>
      <c r="AH20" s="39" t="n">
        <v>0.85</v>
      </c>
      <c r="AI20" s="39" t="n">
        <v>0.78</v>
      </c>
      <c r="AJ20" s="40">
        <f>IFERROR(AH20^2.1*AG20^0.2*(2*AF20+3*AI20+AD20)/6,"")</f>
        <v/>
      </c>
      <c r="AK20" s="40">
        <f>IFERROR(SQRT(AJ20),"")</f>
        <v/>
      </c>
      <c r="AL20" s="39" t="n">
        <v>0.2</v>
      </c>
      <c r="AM20" s="40">
        <f>IFERROR(1-EXP(-AL20),"")</f>
        <v/>
      </c>
      <c r="AN20" s="40">
        <f>IFERROR(4.18*AM20^0.7*(1-AM20)^1.5,"")</f>
        <v/>
      </c>
      <c r="AO20" s="39" t="n">
        <v>0.75</v>
      </c>
      <c r="AP20" s="39" t="n">
        <v>0.52</v>
      </c>
      <c r="AQ20" s="39" t="n">
        <v>0.65</v>
      </c>
      <c r="AR20" s="39" t="n">
        <v>0.88</v>
      </c>
      <c r="AS20" s="40">
        <f>IFERROR(AN20^(1-AO20)*AP20*(4*AQ20*(1-AQ20))*AR20^1.15,"")</f>
        <v/>
      </c>
      <c r="AT20" s="40">
        <f>IFERROR(AS20^(1/3),"")</f>
        <v/>
      </c>
      <c r="AU20" s="39" t="n">
        <v>1.6</v>
      </c>
      <c r="AV20" s="39" t="n">
        <v>2</v>
      </c>
      <c r="AW20" s="40">
        <f>IFERROR(IF(AV20&lt;=1,AU20,AU20*(1+(AV20-1)*0.6)),"")</f>
        <v/>
      </c>
      <c r="AX20" s="39" t="n">
        <v>0.88</v>
      </c>
      <c r="AY20" s="39" t="n">
        <v>0.42</v>
      </c>
      <c r="AZ20" s="41" t="n">
        <v>0.5</v>
      </c>
      <c r="BA20" s="40">
        <f>IFERROR(AZ20/(1-AZ20),"")</f>
        <v/>
      </c>
      <c r="BB20" s="40">
        <f>IFERROR(EXP((P20-0.301)/(0.301*(1-0.301))),"")</f>
        <v/>
      </c>
      <c r="BC20" s="40">
        <f>IFERROR(EXP((U20-0.354)/(0.354*(1-0.354))),"")</f>
        <v/>
      </c>
      <c r="BD20" s="40">
        <f>IFERROR(AW20,"")</f>
        <v/>
      </c>
      <c r="BE20" s="40">
        <f>IFERROR(EXP((AX20-0.75)/(0.75*(1-0.75))),"")</f>
        <v/>
      </c>
      <c r="BF20" s="40">
        <f>IFERROR(EXP((AY20-0.5)/(0.5*(1-0.5))),"")</f>
        <v/>
      </c>
      <c r="BG20" s="40">
        <f>IFERROR(BA20*BB20*BC20*BD20*BE20*BF20,"")</f>
        <v/>
      </c>
      <c r="BH20" s="40">
        <f>IFERROR(BG20/(1+BG20),"")</f>
        <v/>
      </c>
      <c r="BI20" s="40">
        <f>IFERROR(IF(BH20&gt;=1,1E9,BH20/(1-BH20)),"")</f>
        <v/>
      </c>
      <c r="BJ20" s="40">
        <f>IFERROR(EXP((AC20-0.372)/(0.372*(1-0.372))),"")</f>
        <v/>
      </c>
      <c r="BK20" s="40">
        <f>IFERROR(EXP((AK20-0.415)/(0.415*(1-0.415))),"")</f>
        <v/>
      </c>
      <c r="BL20" s="40">
        <f>IFERROR(EXP((AT20-0.405)/(0.405*(1-0.405))),"")</f>
        <v/>
      </c>
      <c r="BM20" s="40">
        <f>IFERROR(BI20*BJ20*BK20*BL20,"")</f>
        <v/>
      </c>
      <c r="BN20" s="40">
        <f>IFERROR(BM20/(1+BM20),"")</f>
        <v/>
      </c>
      <c r="BO20" s="40">
        <f>IFERROR(IF(AC20&gt;=1,0.999,1-EXP(1-(1-AC20)^(-0.8))),"")</f>
        <v/>
      </c>
      <c r="BP20" s="40">
        <f>IFERROR(IF(AK20&gt;=1,0.999,1-EXP(1-(1-AK20)^(-0.75))),"")</f>
        <v/>
      </c>
      <c r="BQ20" s="40">
        <f>IFERROR(1-EXP(-AL20*(1+AL20)),"")</f>
        <v/>
      </c>
      <c r="BR20" s="40">
        <f>IFERROR(BQ20^(1-AO20)*AP20*(4*AQ20*(1-AQ20))*AR20^1.15,"")</f>
        <v/>
      </c>
      <c r="BS20" s="40">
        <f>IFERROR(IF(BR20^(1/3)&gt;=1,0.999,1-EXP(1-(1-BR20^(1/3))^(-0.7))),"")</f>
        <v/>
      </c>
      <c r="BT20" s="40">
        <f>1</f>
        <v/>
      </c>
      <c r="BU20" s="40">
        <f>IFERROR(EXP((BO20-0.372)/(0.372*(1-0.372))),"")</f>
        <v/>
      </c>
      <c r="BV20" s="40">
        <f>IFERROR(EXP((BP20-0.415)/(0.415*(1-0.415))),"")</f>
        <v/>
      </c>
      <c r="BW20" s="40">
        <f>IFERROR(EXP((BS20-0.405)/(0.405*(1-0.405))),"")</f>
        <v/>
      </c>
      <c r="BX20" s="40">
        <f>IFERROR(BT20*BU20*BV20*BW20,"")</f>
        <v/>
      </c>
      <c r="BY20" s="40">
        <f>IFERROR(BX20/(1+BX20),"")</f>
        <v/>
      </c>
      <c r="BZ20" s="40">
        <f>IFERROR(EXP(0.15*(SQRT(BH20)-0.5)/(0.5*0.5)),"")</f>
        <v/>
      </c>
      <c r="CA20" s="40">
        <f>IFERROR(IF(BY20&gt;=1,1E9,BY20/(1-BY20)*BZ20),"")</f>
        <v/>
      </c>
      <c r="CB20" s="40">
        <f>IFERROR(CA20/(1+CA20),"")</f>
        <v/>
      </c>
      <c r="CC20" s="42">
        <f>BH20</f>
        <v/>
      </c>
      <c r="CD20" s="42">
        <f>BN20</f>
        <v/>
      </c>
      <c r="CE20" s="42">
        <f>CB20</f>
        <v/>
      </c>
      <c r="CF20" s="43" t="inlineStr">
        <is>
          <t>Very specific lived experience. Balancoire pattern accurately described.</t>
        </is>
      </c>
    </row>
    <row r="21" ht="40" customHeight="1">
      <c r="A21" s="44" t="n">
        <v>19</v>
      </c>
      <c r="B21" s="45" t="inlineStr">
        <is>
          <t>Merchants and intermediaries artificially raise prices during Ramadan and back-to-school season, taking advantage of guaranteed demand.</t>
        </is>
      </c>
      <c r="C21" s="44" t="inlineStr">
        <is>
          <t>Economics</t>
        </is>
      </c>
      <c r="D21" s="39" t="n">
        <v>0.82</v>
      </c>
      <c r="E21" s="39" t="n">
        <v>0.78</v>
      </c>
      <c r="F21" s="39" t="n">
        <v>0.78</v>
      </c>
      <c r="G21" s="39" t="n">
        <v>0.8</v>
      </c>
      <c r="H21" s="40">
        <f>IFERROR(AVERAGE(D21,E21,F21,G21),"")</f>
        <v/>
      </c>
      <c r="I21" s="39" t="n">
        <v>0.68</v>
      </c>
      <c r="J21" s="39" t="n">
        <v>0.65</v>
      </c>
      <c r="K21" s="39" t="n">
        <v>0.68</v>
      </c>
      <c r="L21" s="39" t="n">
        <v>0.65</v>
      </c>
      <c r="M21" s="40">
        <f>IFERROR(AVERAGE(I21,J21,K21,L21),"")</f>
        <v/>
      </c>
      <c r="N21" s="39" t="n">
        <v>0.55</v>
      </c>
      <c r="O21" s="39" t="n">
        <v>0.78</v>
      </c>
      <c r="P21" s="40">
        <f>IFERROR(IF(H21=0,0,H21^(H21^(-0.5)))*SQRT(M21)*((4*N21+O21)/5),"")</f>
        <v/>
      </c>
      <c r="Q21" s="39" t="n">
        <v>0.45</v>
      </c>
      <c r="R21" s="39" t="n">
        <v>0.85</v>
      </c>
      <c r="S21" s="39" t="n">
        <v>0.82</v>
      </c>
      <c r="T21" s="39" t="n">
        <v>0.8</v>
      </c>
      <c r="U21" s="40">
        <f>IFERROR(((Q21^1.4+T21)/2)*R21*(1-EXP(-4.605*S21)),"")</f>
        <v/>
      </c>
      <c r="V21" s="39" t="n">
        <v>0.65</v>
      </c>
      <c r="W21" s="39" t="n">
        <v>0.7</v>
      </c>
      <c r="X21" s="39" t="n">
        <v>0.6</v>
      </c>
      <c r="Y21" s="39" t="n">
        <v>0.72</v>
      </c>
      <c r="Z21" s="39" t="n">
        <v>0.45</v>
      </c>
      <c r="AA21" s="39" t="n">
        <v>0.7</v>
      </c>
      <c r="AB21" s="40">
        <f>IFERROR(Z21*(Y21*AA21^1.1)^1.1*((3*V21+2*W21+X21)/6)^0.5,"")</f>
        <v/>
      </c>
      <c r="AC21" s="40">
        <f>IFERROR(SQRT(AB21),"")</f>
        <v/>
      </c>
      <c r="AD21" s="39" t="n">
        <v>0.68</v>
      </c>
      <c r="AE21" s="39" t="n">
        <v>0.45</v>
      </c>
      <c r="AF21" s="40">
        <f>IFERROR(AE21*(1-AE21*H21),"")</f>
        <v/>
      </c>
      <c r="AG21" s="39" t="n">
        <v>0.62</v>
      </c>
      <c r="AH21" s="39" t="n">
        <v>0.72</v>
      </c>
      <c r="AI21" s="39" t="n">
        <v>0.75</v>
      </c>
      <c r="AJ21" s="40">
        <f>IFERROR(AH21^2.1*AG21^0.2*(2*AF21+3*AI21+AD21)/6,"")</f>
        <v/>
      </c>
      <c r="AK21" s="40">
        <f>IFERROR(SQRT(AJ21),"")</f>
        <v/>
      </c>
      <c r="AL21" s="39" t="n">
        <v>0.3</v>
      </c>
      <c r="AM21" s="40">
        <f>IFERROR(1-EXP(-AL21),"")</f>
        <v/>
      </c>
      <c r="AN21" s="40">
        <f>IFERROR(4.18*AM21^0.7*(1-AM21)^1.5,"")</f>
        <v/>
      </c>
      <c r="AO21" s="39" t="n">
        <v>0.75</v>
      </c>
      <c r="AP21" s="39" t="n">
        <v>0.52</v>
      </c>
      <c r="AQ21" s="39" t="n">
        <v>0.65</v>
      </c>
      <c r="AR21" s="39" t="n">
        <v>0.88</v>
      </c>
      <c r="AS21" s="40">
        <f>IFERROR(AN21^(1-AO21)*AP21*(4*AQ21*(1-AQ21))*AR21^1.15,"")</f>
        <v/>
      </c>
      <c r="AT21" s="40">
        <f>IFERROR(AS21^(1/3),"")</f>
        <v/>
      </c>
      <c r="AU21" s="39" t="n">
        <v>1.5</v>
      </c>
      <c r="AV21" s="39" t="n">
        <v>2</v>
      </c>
      <c r="AW21" s="40">
        <f>IFERROR(IF(AV21&lt;=1,AU21,AU21*(1+(AV21-1)*0.6)),"")</f>
        <v/>
      </c>
      <c r="AX21" s="39" t="n">
        <v>0.78</v>
      </c>
      <c r="AY21" s="39" t="n">
        <v>0.35</v>
      </c>
      <c r="AZ21" s="41" t="n">
        <v>0.5</v>
      </c>
      <c r="BA21" s="40">
        <f>IFERROR(AZ21/(1-AZ21),"")</f>
        <v/>
      </c>
      <c r="BB21" s="40">
        <f>IFERROR(EXP((P21-0.301)/(0.301*(1-0.301))),"")</f>
        <v/>
      </c>
      <c r="BC21" s="40">
        <f>IFERROR(EXP((U21-0.354)/(0.354*(1-0.354))),"")</f>
        <v/>
      </c>
      <c r="BD21" s="40">
        <f>IFERROR(AW21,"")</f>
        <v/>
      </c>
      <c r="BE21" s="40">
        <f>IFERROR(EXP((AX21-0.75)/(0.75*(1-0.75))),"")</f>
        <v/>
      </c>
      <c r="BF21" s="40">
        <f>IFERROR(EXP((AY21-0.5)/(0.5*(1-0.5))),"")</f>
        <v/>
      </c>
      <c r="BG21" s="40">
        <f>IFERROR(BA21*BB21*BC21*BD21*BE21*BF21,"")</f>
        <v/>
      </c>
      <c r="BH21" s="40">
        <f>IFERROR(BG21/(1+BG21),"")</f>
        <v/>
      </c>
      <c r="BI21" s="40">
        <f>IFERROR(IF(BH21&gt;=1,1E9,BH21/(1-BH21)),"")</f>
        <v/>
      </c>
      <c r="BJ21" s="40">
        <f>IFERROR(EXP((AC21-0.372)/(0.372*(1-0.372))),"")</f>
        <v/>
      </c>
      <c r="BK21" s="40">
        <f>IFERROR(EXP((AK21-0.415)/(0.415*(1-0.415))),"")</f>
        <v/>
      </c>
      <c r="BL21" s="40">
        <f>IFERROR(EXP((AT21-0.405)/(0.405*(1-0.405))),"")</f>
        <v/>
      </c>
      <c r="BM21" s="40">
        <f>IFERROR(BI21*BJ21*BK21*BL21,"")</f>
        <v/>
      </c>
      <c r="BN21" s="40">
        <f>IFERROR(BM21/(1+BM21),"")</f>
        <v/>
      </c>
      <c r="BO21" s="40">
        <f>IFERROR(IF(AC21&gt;=1,0.999,1-EXP(1-(1-AC21)^(-0.8))),"")</f>
        <v/>
      </c>
      <c r="BP21" s="40">
        <f>IFERROR(IF(AK21&gt;=1,0.999,1-EXP(1-(1-AK21)^(-0.75))),"")</f>
        <v/>
      </c>
      <c r="BQ21" s="40">
        <f>IFERROR(1-EXP(-AL21*(1+AL21)),"")</f>
        <v/>
      </c>
      <c r="BR21" s="40">
        <f>IFERROR(BQ21^(1-AO21)*AP21*(4*AQ21*(1-AQ21))*AR21^1.15,"")</f>
        <v/>
      </c>
      <c r="BS21" s="40">
        <f>IFERROR(IF(BR21^(1/3)&gt;=1,0.999,1-EXP(1-(1-BR21^(1/3))^(-0.7))),"")</f>
        <v/>
      </c>
      <c r="BT21" s="40">
        <f>1</f>
        <v/>
      </c>
      <c r="BU21" s="40">
        <f>IFERROR(EXP((BO21-0.372)/(0.372*(1-0.372))),"")</f>
        <v/>
      </c>
      <c r="BV21" s="40">
        <f>IFERROR(EXP((BP21-0.415)/(0.415*(1-0.415))),"")</f>
        <v/>
      </c>
      <c r="BW21" s="40">
        <f>IFERROR(EXP((BS21-0.405)/(0.405*(1-0.405))),"")</f>
        <v/>
      </c>
      <c r="BX21" s="40">
        <f>IFERROR(BT21*BU21*BV21*BW21,"")</f>
        <v/>
      </c>
      <c r="BY21" s="40">
        <f>IFERROR(BX21/(1+BX21),"")</f>
        <v/>
      </c>
      <c r="BZ21" s="40">
        <f>IFERROR(EXP(0.15*(SQRT(BH21)-0.5)/(0.5*0.5)),"")</f>
        <v/>
      </c>
      <c r="CA21" s="40">
        <f>IFERROR(IF(BY21&gt;=1,1E9,BY21/(1-BY21)*BZ21),"")</f>
        <v/>
      </c>
      <c r="CB21" s="40">
        <f>IFERROR(CA21/(1+CA21),"")</f>
        <v/>
      </c>
      <c r="CC21" s="42">
        <f>BH21</f>
        <v/>
      </c>
      <c r="CD21" s="42">
        <f>BN21</f>
        <v/>
      </c>
      <c r="CE21" s="42">
        <f>CB21</f>
        <v/>
      </c>
      <c r="CF21" s="43" t="inlineStr">
        <is>
          <t>Chna9a phenomenon. Widely felt. Decent opposition from merchants/defenders.</t>
        </is>
      </c>
    </row>
    <row r="22" ht="40" customHeight="1">
      <c r="A22" s="44" t="n">
        <v>20</v>
      </c>
      <c r="B22" s="45" t="inlineStr">
        <is>
          <t>Meat prices in Morocco are effectively controlled by a small group of intermediaries and butchers who limit real competition.</t>
        </is>
      </c>
      <c r="C22" s="44" t="inlineStr">
        <is>
          <t>Economics</t>
        </is>
      </c>
      <c r="D22" s="39" t="n">
        <v>0.82</v>
      </c>
      <c r="E22" s="39" t="n">
        <v>0.78</v>
      </c>
      <c r="F22" s="39" t="n">
        <v>0.78</v>
      </c>
      <c r="G22" s="39" t="n">
        <v>0.8</v>
      </c>
      <c r="H22" s="40">
        <f>IFERROR(AVERAGE(D22,E22,F22,G22),"")</f>
        <v/>
      </c>
      <c r="I22" s="39" t="n">
        <v>0.65</v>
      </c>
      <c r="J22" s="39" t="n">
        <v>0.62</v>
      </c>
      <c r="K22" s="39" t="n">
        <v>0.65</v>
      </c>
      <c r="L22" s="39" t="n">
        <v>0.62</v>
      </c>
      <c r="M22" s="40">
        <f>IFERROR(AVERAGE(I22,J22,K22,L22),"")</f>
        <v/>
      </c>
      <c r="N22" s="39" t="n">
        <v>0.52</v>
      </c>
      <c r="O22" s="39" t="n">
        <v>0.75</v>
      </c>
      <c r="P22" s="40">
        <f>IFERROR(IF(H22=0,0,H22^(H22^(-0.5)))*SQRT(M22)*((4*N22+O22)/5),"")</f>
        <v/>
      </c>
      <c r="Q22" s="39" t="n">
        <v>0.5</v>
      </c>
      <c r="R22" s="39" t="n">
        <v>0.82</v>
      </c>
      <c r="S22" s="39" t="n">
        <v>0.8</v>
      </c>
      <c r="T22" s="39" t="n">
        <v>0.78</v>
      </c>
      <c r="U22" s="40">
        <f>IFERROR(((Q22^1.4+T22)/2)*R22*(1-EXP(-4.605*S22)),"")</f>
        <v/>
      </c>
      <c r="V22" s="39" t="n">
        <v>0.65</v>
      </c>
      <c r="W22" s="39" t="n">
        <v>0.68</v>
      </c>
      <c r="X22" s="39" t="n">
        <v>0.6</v>
      </c>
      <c r="Y22" s="39" t="n">
        <v>0.7</v>
      </c>
      <c r="Z22" s="39" t="n">
        <v>0.45</v>
      </c>
      <c r="AA22" s="39" t="n">
        <v>0.7</v>
      </c>
      <c r="AB22" s="40">
        <f>IFERROR(Z22*(Y22*AA22^1.1)^1.1*((3*V22+2*W22+X22)/6)^0.5,"")</f>
        <v/>
      </c>
      <c r="AC22" s="40">
        <f>IFERROR(SQRT(AB22),"")</f>
        <v/>
      </c>
      <c r="AD22" s="39" t="n">
        <v>0.65</v>
      </c>
      <c r="AE22" s="39" t="n">
        <v>0.45</v>
      </c>
      <c r="AF22" s="40">
        <f>IFERROR(AE22*(1-AE22*H22),"")</f>
        <v/>
      </c>
      <c r="AG22" s="39" t="n">
        <v>0.6</v>
      </c>
      <c r="AH22" s="39" t="n">
        <v>0.68</v>
      </c>
      <c r="AI22" s="39" t="n">
        <v>0.75</v>
      </c>
      <c r="AJ22" s="40">
        <f>IFERROR(AH22^2.1*AG22^0.2*(2*AF22+3*AI22+AD22)/6,"")</f>
        <v/>
      </c>
      <c r="AK22" s="40">
        <f>IFERROR(SQRT(AJ22),"")</f>
        <v/>
      </c>
      <c r="AL22" s="39" t="n">
        <v>0.4</v>
      </c>
      <c r="AM22" s="40">
        <f>IFERROR(1-EXP(-AL22),"")</f>
        <v/>
      </c>
      <c r="AN22" s="40">
        <f>IFERROR(4.18*AM22^0.7*(1-AM22)^1.5,"")</f>
        <v/>
      </c>
      <c r="AO22" s="39" t="n">
        <v>0.72</v>
      </c>
      <c r="AP22" s="39" t="n">
        <v>0.5</v>
      </c>
      <c r="AQ22" s="39" t="n">
        <v>0.62</v>
      </c>
      <c r="AR22" s="39" t="n">
        <v>0.88</v>
      </c>
      <c r="AS22" s="40">
        <f>IFERROR(AN22^(1-AO22)*AP22*(4*AQ22*(1-AQ22))*AR22^1.15,"")</f>
        <v/>
      </c>
      <c r="AT22" s="40">
        <f>IFERROR(AS22^(1/3),"")</f>
        <v/>
      </c>
      <c r="AU22" s="39" t="n">
        <v>1.4</v>
      </c>
      <c r="AV22" s="39" t="n">
        <v>2</v>
      </c>
      <c r="AW22" s="40">
        <f>IFERROR(IF(AV22&lt;=1,AU22,AU22*(1+(AV22-1)*0.6)),"")</f>
        <v/>
      </c>
      <c r="AX22" s="39" t="n">
        <v>0.75</v>
      </c>
      <c r="AY22" s="39" t="n">
        <v>0.28</v>
      </c>
      <c r="AZ22" s="41" t="n">
        <v>0.5</v>
      </c>
      <c r="BA22" s="40">
        <f>IFERROR(AZ22/(1-AZ22),"")</f>
        <v/>
      </c>
      <c r="BB22" s="40">
        <f>IFERROR(EXP((P22-0.301)/(0.301*(1-0.301))),"")</f>
        <v/>
      </c>
      <c r="BC22" s="40">
        <f>IFERROR(EXP((U22-0.354)/(0.354*(1-0.354))),"")</f>
        <v/>
      </c>
      <c r="BD22" s="40">
        <f>IFERROR(AW22,"")</f>
        <v/>
      </c>
      <c r="BE22" s="40">
        <f>IFERROR(EXP((AX22-0.75)/(0.75*(1-0.75))),"")</f>
        <v/>
      </c>
      <c r="BF22" s="40">
        <f>IFERROR(EXP((AY22-0.5)/(0.5*(1-0.5))),"")</f>
        <v/>
      </c>
      <c r="BG22" s="40">
        <f>IFERROR(BA22*BB22*BC22*BD22*BE22*BF22,"")</f>
        <v/>
      </c>
      <c r="BH22" s="40">
        <f>IFERROR(BG22/(1+BG22),"")</f>
        <v/>
      </c>
      <c r="BI22" s="40">
        <f>IFERROR(IF(BH22&gt;=1,1E9,BH22/(1-BH22)),"")</f>
        <v/>
      </c>
      <c r="BJ22" s="40">
        <f>IFERROR(EXP((AC22-0.372)/(0.372*(1-0.372))),"")</f>
        <v/>
      </c>
      <c r="BK22" s="40">
        <f>IFERROR(EXP((AK22-0.415)/(0.415*(1-0.415))),"")</f>
        <v/>
      </c>
      <c r="BL22" s="40">
        <f>IFERROR(EXP((AT22-0.405)/(0.405*(1-0.405))),"")</f>
        <v/>
      </c>
      <c r="BM22" s="40">
        <f>IFERROR(BI22*BJ22*BK22*BL22,"")</f>
        <v/>
      </c>
      <c r="BN22" s="40">
        <f>IFERROR(BM22/(1+BM22),"")</f>
        <v/>
      </c>
      <c r="BO22" s="40">
        <f>IFERROR(IF(AC22&gt;=1,0.999,1-EXP(1-(1-AC22)^(-0.8))),"")</f>
        <v/>
      </c>
      <c r="BP22" s="40">
        <f>IFERROR(IF(AK22&gt;=1,0.999,1-EXP(1-(1-AK22)^(-0.75))),"")</f>
        <v/>
      </c>
      <c r="BQ22" s="40">
        <f>IFERROR(1-EXP(-AL22*(1+AL22)),"")</f>
        <v/>
      </c>
      <c r="BR22" s="40">
        <f>IFERROR(BQ22^(1-AO22)*AP22*(4*AQ22*(1-AQ22))*AR22^1.15,"")</f>
        <v/>
      </c>
      <c r="BS22" s="40">
        <f>IFERROR(IF(BR22^(1/3)&gt;=1,0.999,1-EXP(1-(1-BR22^(1/3))^(-0.7))),"")</f>
        <v/>
      </c>
      <c r="BT22" s="40">
        <f>1</f>
        <v/>
      </c>
      <c r="BU22" s="40">
        <f>IFERROR(EXP((BO22-0.372)/(0.372*(1-0.372))),"")</f>
        <v/>
      </c>
      <c r="BV22" s="40">
        <f>IFERROR(EXP((BP22-0.415)/(0.415*(1-0.415))),"")</f>
        <v/>
      </c>
      <c r="BW22" s="40">
        <f>IFERROR(EXP((BS22-0.405)/(0.405*(1-0.405))),"")</f>
        <v/>
      </c>
      <c r="BX22" s="40">
        <f>IFERROR(BT22*BU22*BV22*BW22,"")</f>
        <v/>
      </c>
      <c r="BY22" s="40">
        <f>IFERROR(BX22/(1+BX22),"")</f>
        <v/>
      </c>
      <c r="BZ22" s="40">
        <f>IFERROR(EXP(0.15*(SQRT(BH22)-0.5)/(0.5*0.5)),"")</f>
        <v/>
      </c>
      <c r="CA22" s="40">
        <f>IFERROR(IF(BY22&gt;=1,1E9,BY22/(1-BY22)*BZ22),"")</f>
        <v/>
      </c>
      <c r="CB22" s="40">
        <f>IFERROR(CA22/(1+CA22),"")</f>
        <v/>
      </c>
      <c r="CC22" s="42">
        <f>BH22</f>
        <v/>
      </c>
      <c r="CD22" s="42">
        <f>BN22</f>
        <v/>
      </c>
      <c r="CE22" s="42">
        <f>CB22</f>
        <v/>
      </c>
      <c r="CF22" s="43" t="inlineStr">
        <is>
          <t>Oligopoly felt widely. Decent opposition. Hard to formally prove.</t>
        </is>
      </c>
    </row>
    <row r="23" ht="40" customHeight="1">
      <c r="A23" s="44" t="n">
        <v>21</v>
      </c>
      <c r="B23" s="45" t="inlineStr">
        <is>
          <t>The government announced sufficient sheep supply for Eid Al Adha, but many lower-income families could not afford to buy one.</t>
        </is>
      </c>
      <c r="C23" s="44" t="inlineStr">
        <is>
          <t>Economics</t>
        </is>
      </c>
      <c r="D23" s="39" t="n">
        <v>0.78</v>
      </c>
      <c r="E23" s="39" t="n">
        <v>0.78</v>
      </c>
      <c r="F23" s="39" t="n">
        <v>0.65</v>
      </c>
      <c r="G23" s="39" t="n">
        <v>0.75</v>
      </c>
      <c r="H23" s="40">
        <f>IFERROR(AVERAGE(D23,E23,F23,G23),"")</f>
        <v/>
      </c>
      <c r="I23" s="39" t="n">
        <v>0.68</v>
      </c>
      <c r="J23" s="39" t="n">
        <v>0.65</v>
      </c>
      <c r="K23" s="39" t="n">
        <v>0.65</v>
      </c>
      <c r="L23" s="39" t="n">
        <v>0.62</v>
      </c>
      <c r="M23" s="40">
        <f>IFERROR(AVERAGE(I23,J23,K23,L23),"")</f>
        <v/>
      </c>
      <c r="N23" s="39" t="n">
        <v>0.55</v>
      </c>
      <c r="O23" s="39" t="n">
        <v>0.78</v>
      </c>
      <c r="P23" s="40">
        <f>IFERROR(IF(H23=0,0,H23^(H23^(-0.5)))*SQRT(M23)*((4*N23+O23)/5),"")</f>
        <v/>
      </c>
      <c r="Q23" s="39" t="n">
        <v>0.48</v>
      </c>
      <c r="R23" s="39" t="n">
        <v>0.88</v>
      </c>
      <c r="S23" s="39" t="n">
        <v>0.88</v>
      </c>
      <c r="T23" s="39" t="n">
        <v>0.82</v>
      </c>
      <c r="U23" s="40">
        <f>IFERROR(((Q23^1.4+T23)/2)*R23*(1-EXP(-4.605*S23)),"")</f>
        <v/>
      </c>
      <c r="V23" s="39" t="n">
        <v>0.65</v>
      </c>
      <c r="W23" s="39" t="n">
        <v>0.7</v>
      </c>
      <c r="X23" s="39" t="n">
        <v>0.6</v>
      </c>
      <c r="Y23" s="39" t="n">
        <v>0.72</v>
      </c>
      <c r="Z23" s="39" t="n">
        <v>0.48</v>
      </c>
      <c r="AA23" s="39" t="n">
        <v>0.72</v>
      </c>
      <c r="AB23" s="40">
        <f>IFERROR(Z23*(Y23*AA23^1.1)^1.1*((3*V23+2*W23+X23)/6)^0.5,"")</f>
        <v/>
      </c>
      <c r="AC23" s="40">
        <f>IFERROR(SQRT(AB23),"")</f>
        <v/>
      </c>
      <c r="AD23" s="39" t="n">
        <v>0.7</v>
      </c>
      <c r="AE23" s="39" t="n">
        <v>0.52</v>
      </c>
      <c r="AF23" s="40">
        <f>IFERROR(AE23*(1-AE23*H23),"")</f>
        <v/>
      </c>
      <c r="AG23" s="39" t="n">
        <v>0.65</v>
      </c>
      <c r="AH23" s="39" t="n">
        <v>0.78</v>
      </c>
      <c r="AI23" s="39" t="n">
        <v>0.82</v>
      </c>
      <c r="AJ23" s="40">
        <f>IFERROR(AH23^2.1*AG23^0.2*(2*AF23+3*AI23+AD23)/6,"")</f>
        <v/>
      </c>
      <c r="AK23" s="40">
        <f>IFERROR(SQRT(AJ23),"")</f>
        <v/>
      </c>
      <c r="AL23" s="39" t="n">
        <v>0.35</v>
      </c>
      <c r="AM23" s="40">
        <f>IFERROR(1-EXP(-AL23),"")</f>
        <v/>
      </c>
      <c r="AN23" s="40">
        <f>IFERROR(4.18*AM23^0.7*(1-AM23)^1.5,"")</f>
        <v/>
      </c>
      <c r="AO23" s="39" t="n">
        <v>0.75</v>
      </c>
      <c r="AP23" s="39" t="n">
        <v>0.52</v>
      </c>
      <c r="AQ23" s="39" t="n">
        <v>0.68</v>
      </c>
      <c r="AR23" s="39" t="n">
        <v>0.9</v>
      </c>
      <c r="AS23" s="40">
        <f>IFERROR(AN23^(1-AO23)*AP23*(4*AQ23*(1-AQ23))*AR23^1.15,"")</f>
        <v/>
      </c>
      <c r="AT23" s="40">
        <f>IFERROR(AS23^(1/3),"")</f>
        <v/>
      </c>
      <c r="AU23" s="39" t="n">
        <v>1.5</v>
      </c>
      <c r="AV23" s="39" t="n">
        <v>2</v>
      </c>
      <c r="AW23" s="40">
        <f>IFERROR(IF(AV23&lt;=1,AU23,AU23*(1+(AV23-1)*0.6)),"")</f>
        <v/>
      </c>
      <c r="AX23" s="39" t="n">
        <v>0.82</v>
      </c>
      <c r="AY23" s="39" t="n">
        <v>0.38</v>
      </c>
      <c r="AZ23" s="41" t="n">
        <v>0.5</v>
      </c>
      <c r="BA23" s="40">
        <f>IFERROR(AZ23/(1-AZ23),"")</f>
        <v/>
      </c>
      <c r="BB23" s="40">
        <f>IFERROR(EXP((P23-0.301)/(0.301*(1-0.301))),"")</f>
        <v/>
      </c>
      <c r="BC23" s="40">
        <f>IFERROR(EXP((U23-0.354)/(0.354*(1-0.354))),"")</f>
        <v/>
      </c>
      <c r="BD23" s="40">
        <f>IFERROR(AW23,"")</f>
        <v/>
      </c>
      <c r="BE23" s="40">
        <f>IFERROR(EXP((AX23-0.75)/(0.75*(1-0.75))),"")</f>
        <v/>
      </c>
      <c r="BF23" s="40">
        <f>IFERROR(EXP((AY23-0.5)/(0.5*(1-0.5))),"")</f>
        <v/>
      </c>
      <c r="BG23" s="40">
        <f>IFERROR(BA23*BB23*BC23*BD23*BE23*BF23,"")</f>
        <v/>
      </c>
      <c r="BH23" s="40">
        <f>IFERROR(BG23/(1+BG23),"")</f>
        <v/>
      </c>
      <c r="BI23" s="40">
        <f>IFERROR(IF(BH23&gt;=1,1E9,BH23/(1-BH23)),"")</f>
        <v/>
      </c>
      <c r="BJ23" s="40">
        <f>IFERROR(EXP((AC23-0.372)/(0.372*(1-0.372))),"")</f>
        <v/>
      </c>
      <c r="BK23" s="40">
        <f>IFERROR(EXP((AK23-0.415)/(0.415*(1-0.415))),"")</f>
        <v/>
      </c>
      <c r="BL23" s="40">
        <f>IFERROR(EXP((AT23-0.405)/(0.405*(1-0.405))),"")</f>
        <v/>
      </c>
      <c r="BM23" s="40">
        <f>IFERROR(BI23*BJ23*BK23*BL23,"")</f>
        <v/>
      </c>
      <c r="BN23" s="40">
        <f>IFERROR(BM23/(1+BM23),"")</f>
        <v/>
      </c>
      <c r="BO23" s="40">
        <f>IFERROR(IF(AC23&gt;=1,0.999,1-EXP(1-(1-AC23)^(-0.8))),"")</f>
        <v/>
      </c>
      <c r="BP23" s="40">
        <f>IFERROR(IF(AK23&gt;=1,0.999,1-EXP(1-(1-AK23)^(-0.75))),"")</f>
        <v/>
      </c>
      <c r="BQ23" s="40">
        <f>IFERROR(1-EXP(-AL23*(1+AL23)),"")</f>
        <v/>
      </c>
      <c r="BR23" s="40">
        <f>IFERROR(BQ23^(1-AO23)*AP23*(4*AQ23*(1-AQ23))*AR23^1.15,"")</f>
        <v/>
      </c>
      <c r="BS23" s="40">
        <f>IFERROR(IF(BR23^(1/3)&gt;=1,0.999,1-EXP(1-(1-BR23^(1/3))^(-0.7))),"")</f>
        <v/>
      </c>
      <c r="BT23" s="40">
        <f>1</f>
        <v/>
      </c>
      <c r="BU23" s="40">
        <f>IFERROR(EXP((BO23-0.372)/(0.372*(1-0.372))),"")</f>
        <v/>
      </c>
      <c r="BV23" s="40">
        <f>IFERROR(EXP((BP23-0.415)/(0.415*(1-0.415))),"")</f>
        <v/>
      </c>
      <c r="BW23" s="40">
        <f>IFERROR(EXP((BS23-0.405)/(0.405*(1-0.405))),"")</f>
        <v/>
      </c>
      <c r="BX23" s="40">
        <f>IFERROR(BT23*BU23*BV23*BW23,"")</f>
        <v/>
      </c>
      <c r="BY23" s="40">
        <f>IFERROR(BX23/(1+BX23),"")</f>
        <v/>
      </c>
      <c r="BZ23" s="40">
        <f>IFERROR(EXP(0.15*(SQRT(BH23)-0.5)/(0.5*0.5)),"")</f>
        <v/>
      </c>
      <c r="CA23" s="40">
        <f>IFERROR(IF(BY23&gt;=1,1E9,BY23/(1-BY23)*BZ23),"")</f>
        <v/>
      </c>
      <c r="CB23" s="40">
        <f>IFERROR(CA23/(1+CA23),"")</f>
        <v/>
      </c>
      <c r="CC23" s="42">
        <f>BH23</f>
        <v/>
      </c>
      <c r="CD23" s="42">
        <f>BN23</f>
        <v/>
      </c>
      <c r="CE23" s="42">
        <f>CB23</f>
        <v/>
      </c>
      <c r="CF23" s="43" t="inlineStr">
        <is>
          <t>Very specific recent experience. High emotional charge (Eid). Widely felt gap.</t>
        </is>
      </c>
    </row>
    <row r="24" ht="40" customHeight="1">
      <c r="A24" s="44" t="n">
        <v>22</v>
      </c>
      <c r="B24" s="45" t="inlineStr">
        <is>
          <t>Official Moroccan government statistics on food availability often do not reflect what people actually find in markets.</t>
        </is>
      </c>
      <c r="C24" s="44" t="inlineStr">
        <is>
          <t>Economics</t>
        </is>
      </c>
      <c r="D24" s="39" t="n">
        <v>0.78</v>
      </c>
      <c r="E24" s="39" t="n">
        <v>0.78</v>
      </c>
      <c r="F24" s="39" t="n">
        <v>0.65</v>
      </c>
      <c r="G24" s="39" t="n">
        <v>0.75</v>
      </c>
      <c r="H24" s="40">
        <f>IFERROR(AVERAGE(D24,E24,F24,G24),"")</f>
        <v/>
      </c>
      <c r="I24" s="39" t="n">
        <v>0.65</v>
      </c>
      <c r="J24" s="39" t="n">
        <v>0.62</v>
      </c>
      <c r="K24" s="39" t="n">
        <v>0.62</v>
      </c>
      <c r="L24" s="39" t="n">
        <v>0.6</v>
      </c>
      <c r="M24" s="40">
        <f>IFERROR(AVERAGE(I24,J24,K24,L24),"")</f>
        <v/>
      </c>
      <c r="N24" s="39" t="n">
        <v>0.5</v>
      </c>
      <c r="O24" s="39" t="n">
        <v>0.72</v>
      </c>
      <c r="P24" s="40">
        <f>IFERROR(IF(H24=0,0,H24^(H24^(-0.5)))*SQRT(M24)*((4*N24+O24)/5),"")</f>
        <v/>
      </c>
      <c r="Q24" s="39" t="n">
        <v>0.45</v>
      </c>
      <c r="R24" s="39" t="n">
        <v>0.82</v>
      </c>
      <c r="S24" s="39" t="n">
        <v>0.78</v>
      </c>
      <c r="T24" s="39" t="n">
        <v>0.78</v>
      </c>
      <c r="U24" s="40">
        <f>IFERROR(((Q24^1.4+T24)/2)*R24*(1-EXP(-4.605*S24)),"")</f>
        <v/>
      </c>
      <c r="V24" s="39" t="n">
        <v>0.62</v>
      </c>
      <c r="W24" s="39" t="n">
        <v>0.68</v>
      </c>
      <c r="X24" s="39" t="n">
        <v>0.6</v>
      </c>
      <c r="Y24" s="39" t="n">
        <v>0.68</v>
      </c>
      <c r="Z24" s="39" t="n">
        <v>0.45</v>
      </c>
      <c r="AA24" s="39" t="n">
        <v>0.68</v>
      </c>
      <c r="AB24" s="40">
        <f>IFERROR(Z24*(Y24*AA24^1.1)^1.1*((3*V24+2*W24+X24)/6)^0.5,"")</f>
        <v/>
      </c>
      <c r="AC24" s="40">
        <f>IFERROR(SQRT(AB24),"")</f>
        <v/>
      </c>
      <c r="AD24" s="39" t="n">
        <v>0.65</v>
      </c>
      <c r="AE24" s="39" t="n">
        <v>0.45</v>
      </c>
      <c r="AF24" s="40">
        <f>IFERROR(AE24*(1-AE24*H24),"")</f>
        <v/>
      </c>
      <c r="AG24" s="39" t="n">
        <v>0.62</v>
      </c>
      <c r="AH24" s="39" t="n">
        <v>0.8</v>
      </c>
      <c r="AI24" s="39" t="n">
        <v>0.72</v>
      </c>
      <c r="AJ24" s="40">
        <f>IFERROR(AH24^2.1*AG24^0.2*(2*AF24+3*AI24+AD24)/6,"")</f>
        <v/>
      </c>
      <c r="AK24" s="40">
        <f>IFERROR(SQRT(AJ24),"")</f>
        <v/>
      </c>
      <c r="AL24" s="39" t="n">
        <v>0.35</v>
      </c>
      <c r="AM24" s="40">
        <f>IFERROR(1-EXP(-AL24),"")</f>
        <v/>
      </c>
      <c r="AN24" s="40">
        <f>IFERROR(4.18*AM24^0.7*(1-AM24)^1.5,"")</f>
        <v/>
      </c>
      <c r="AO24" s="39" t="n">
        <v>0.75</v>
      </c>
      <c r="AP24" s="39" t="n">
        <v>0.5</v>
      </c>
      <c r="AQ24" s="39" t="n">
        <v>0.62</v>
      </c>
      <c r="AR24" s="39" t="n">
        <v>0.82</v>
      </c>
      <c r="AS24" s="40">
        <f>IFERROR(AN24^(1-AO24)*AP24*(4*AQ24*(1-AQ24))*AR24^1.15,"")</f>
        <v/>
      </c>
      <c r="AT24" s="40">
        <f>IFERROR(AS24^(1/3),"")</f>
        <v/>
      </c>
      <c r="AU24" s="39" t="n">
        <v>1.4</v>
      </c>
      <c r="AV24" s="39" t="n">
        <v>2</v>
      </c>
      <c r="AW24" s="40">
        <f>IFERROR(IF(AV24&lt;=1,AU24,AU24*(1+(AV24-1)*0.6)),"")</f>
        <v/>
      </c>
      <c r="AX24" s="39" t="n">
        <v>0.72</v>
      </c>
      <c r="AY24" s="39" t="n">
        <v>0.28</v>
      </c>
      <c r="AZ24" s="41" t="n">
        <v>0.5</v>
      </c>
      <c r="BA24" s="40">
        <f>IFERROR(AZ24/(1-AZ24),"")</f>
        <v/>
      </c>
      <c r="BB24" s="40">
        <f>IFERROR(EXP((P24-0.301)/(0.301*(1-0.301))),"")</f>
        <v/>
      </c>
      <c r="BC24" s="40">
        <f>IFERROR(EXP((U24-0.354)/(0.354*(1-0.354))),"")</f>
        <v/>
      </c>
      <c r="BD24" s="40">
        <f>IFERROR(AW24,"")</f>
        <v/>
      </c>
      <c r="BE24" s="40">
        <f>IFERROR(EXP((AX24-0.75)/(0.75*(1-0.75))),"")</f>
        <v/>
      </c>
      <c r="BF24" s="40">
        <f>IFERROR(EXP((AY24-0.5)/(0.5*(1-0.5))),"")</f>
        <v/>
      </c>
      <c r="BG24" s="40">
        <f>IFERROR(BA24*BB24*BC24*BD24*BE24*BF24,"")</f>
        <v/>
      </c>
      <c r="BH24" s="40">
        <f>IFERROR(BG24/(1+BG24),"")</f>
        <v/>
      </c>
      <c r="BI24" s="40">
        <f>IFERROR(IF(BH24&gt;=1,1E9,BH24/(1-BH24)),"")</f>
        <v/>
      </c>
      <c r="BJ24" s="40">
        <f>IFERROR(EXP((AC24-0.372)/(0.372*(1-0.372))),"")</f>
        <v/>
      </c>
      <c r="BK24" s="40">
        <f>IFERROR(EXP((AK24-0.415)/(0.415*(1-0.415))),"")</f>
        <v/>
      </c>
      <c r="BL24" s="40">
        <f>IFERROR(EXP((AT24-0.405)/(0.405*(1-0.405))),"")</f>
        <v/>
      </c>
      <c r="BM24" s="40">
        <f>IFERROR(BI24*BJ24*BK24*BL24,"")</f>
        <v/>
      </c>
      <c r="BN24" s="40">
        <f>IFERROR(BM24/(1+BM24),"")</f>
        <v/>
      </c>
      <c r="BO24" s="40">
        <f>IFERROR(IF(AC24&gt;=1,0.999,1-EXP(1-(1-AC24)^(-0.8))),"")</f>
        <v/>
      </c>
      <c r="BP24" s="40">
        <f>IFERROR(IF(AK24&gt;=1,0.999,1-EXP(1-(1-AK24)^(-0.75))),"")</f>
        <v/>
      </c>
      <c r="BQ24" s="40">
        <f>IFERROR(1-EXP(-AL24*(1+AL24)),"")</f>
        <v/>
      </c>
      <c r="BR24" s="40">
        <f>IFERROR(BQ24^(1-AO24)*AP24*(4*AQ24*(1-AQ24))*AR24^1.15,"")</f>
        <v/>
      </c>
      <c r="BS24" s="40">
        <f>IFERROR(IF(BR24^(1/3)&gt;=1,0.999,1-EXP(1-(1-BR24^(1/3))^(-0.7))),"")</f>
        <v/>
      </c>
      <c r="BT24" s="40">
        <f>1</f>
        <v/>
      </c>
      <c r="BU24" s="40">
        <f>IFERROR(EXP((BO24-0.372)/(0.372*(1-0.372))),"")</f>
        <v/>
      </c>
      <c r="BV24" s="40">
        <f>IFERROR(EXP((BP24-0.415)/(0.415*(1-0.415))),"")</f>
        <v/>
      </c>
      <c r="BW24" s="40">
        <f>IFERROR(EXP((BS24-0.405)/(0.405*(1-0.405))),"")</f>
        <v/>
      </c>
      <c r="BX24" s="40">
        <f>IFERROR(BT24*BU24*BV24*BW24,"")</f>
        <v/>
      </c>
      <c r="BY24" s="40">
        <f>IFERROR(BX24/(1+BX24),"")</f>
        <v/>
      </c>
      <c r="BZ24" s="40">
        <f>IFERROR(EXP(0.15*(SQRT(BH24)-0.5)/(0.5*0.5)),"")</f>
        <v/>
      </c>
      <c r="CA24" s="40">
        <f>IFERROR(IF(BY24&gt;=1,1E9,BY24/(1-BY24)*BZ24),"")</f>
        <v/>
      </c>
      <c r="CB24" s="40">
        <f>IFERROR(CA24/(1+CA24),"")</f>
        <v/>
      </c>
      <c r="CC24" s="42">
        <f>BH24</f>
        <v/>
      </c>
      <c r="CD24" s="42">
        <f>BN24</f>
        <v/>
      </c>
      <c r="CE24" s="42">
        <f>CB24</f>
        <v/>
      </c>
      <c r="CF24" s="43" t="inlineStr">
        <is>
          <t>Widely believed skeptical claim about official stats. Most agree.</t>
        </is>
      </c>
    </row>
    <row r="25" ht="40" customHeight="1">
      <c r="A25" s="44" t="n">
        <v>23</v>
      </c>
      <c r="B25" s="45" t="inlineStr">
        <is>
          <t>Buying gold is a more reliable store of value than a Moroccan bank savings account over the long run.</t>
        </is>
      </c>
      <c r="C25" s="44" t="inlineStr">
        <is>
          <t>Economics</t>
        </is>
      </c>
      <c r="D25" s="39" t="n">
        <v>0.85</v>
      </c>
      <c r="E25" s="39" t="n">
        <v>0.82</v>
      </c>
      <c r="F25" s="39" t="n">
        <v>0.8</v>
      </c>
      <c r="G25" s="39" t="n">
        <v>0.85</v>
      </c>
      <c r="H25" s="40">
        <f>IFERROR(AVERAGE(D25,E25,F25,G25),"")</f>
        <v/>
      </c>
      <c r="I25" s="39" t="n">
        <v>0.65</v>
      </c>
      <c r="J25" s="39" t="n">
        <v>0.62</v>
      </c>
      <c r="K25" s="39" t="n">
        <v>0.65</v>
      </c>
      <c r="L25" s="39" t="n">
        <v>0.62</v>
      </c>
      <c r="M25" s="40">
        <f>IFERROR(AVERAGE(I25,J25,K25,L25),"")</f>
        <v/>
      </c>
      <c r="N25" s="39" t="n">
        <v>0.52</v>
      </c>
      <c r="O25" s="39" t="n">
        <v>0.72</v>
      </c>
      <c r="P25" s="40">
        <f>IFERROR(IF(H25=0,0,H25^(H25^(-0.5)))*SQRT(M25)*((4*N25+O25)/5),"")</f>
        <v/>
      </c>
      <c r="Q25" s="39" t="n">
        <v>0.38</v>
      </c>
      <c r="R25" s="39" t="n">
        <v>0.85</v>
      </c>
      <c r="S25" s="39" t="n">
        <v>0.82</v>
      </c>
      <c r="T25" s="39" t="n">
        <v>0.78</v>
      </c>
      <c r="U25" s="40">
        <f>IFERROR(((Q25^1.4+T25)/2)*R25*(1-EXP(-4.605*S25)),"")</f>
        <v/>
      </c>
      <c r="V25" s="39" t="n">
        <v>0.62</v>
      </c>
      <c r="W25" s="39" t="n">
        <v>0.68</v>
      </c>
      <c r="X25" s="39" t="n">
        <v>0.6</v>
      </c>
      <c r="Y25" s="39" t="n">
        <v>0.68</v>
      </c>
      <c r="Z25" s="39" t="n">
        <v>0.45</v>
      </c>
      <c r="AA25" s="39" t="n">
        <v>0.68</v>
      </c>
      <c r="AB25" s="40">
        <f>IFERROR(Z25*(Y25*AA25^1.1)^1.1*((3*V25+2*W25+X25)/6)^0.5,"")</f>
        <v/>
      </c>
      <c r="AC25" s="40">
        <f>IFERROR(SQRT(AB25),"")</f>
        <v/>
      </c>
      <c r="AD25" s="39" t="n">
        <v>0.62</v>
      </c>
      <c r="AE25" s="39" t="n">
        <v>0.4</v>
      </c>
      <c r="AF25" s="40">
        <f>IFERROR(AE25*(1-AE25*H25),"")</f>
        <v/>
      </c>
      <c r="AG25" s="39" t="n">
        <v>0.6</v>
      </c>
      <c r="AH25" s="39" t="n">
        <v>0.75</v>
      </c>
      <c r="AI25" s="39" t="n">
        <v>0.68</v>
      </c>
      <c r="AJ25" s="40">
        <f>IFERROR(AH25^2.1*AG25^0.2*(2*AF25+3*AI25+AD25)/6,"")</f>
        <v/>
      </c>
      <c r="AK25" s="40">
        <f>IFERROR(SQRT(AJ25),"")</f>
        <v/>
      </c>
      <c r="AL25" s="39" t="n">
        <v>0.35</v>
      </c>
      <c r="AM25" s="40">
        <f>IFERROR(1-EXP(-AL25),"")</f>
        <v/>
      </c>
      <c r="AN25" s="40">
        <f>IFERROR(4.18*AM25^0.7*(1-AM25)^1.5,"")</f>
        <v/>
      </c>
      <c r="AO25" s="39" t="n">
        <v>0.72</v>
      </c>
      <c r="AP25" s="39" t="n">
        <v>0.5</v>
      </c>
      <c r="AQ25" s="39" t="n">
        <v>0.58</v>
      </c>
      <c r="AR25" s="39" t="n">
        <v>0.72</v>
      </c>
      <c r="AS25" s="40">
        <f>IFERROR(AN25^(1-AO25)*AP25*(4*AQ25*(1-AQ25))*AR25^1.15,"")</f>
        <v/>
      </c>
      <c r="AT25" s="40">
        <f>IFERROR(AS25^(1/3),"")</f>
        <v/>
      </c>
      <c r="AU25" s="39" t="n">
        <v>1.5</v>
      </c>
      <c r="AV25" s="39" t="n">
        <v>2</v>
      </c>
      <c r="AW25" s="40">
        <f>IFERROR(IF(AV25&lt;=1,AU25,AU25*(1+(AV25-1)*0.6)),"")</f>
        <v/>
      </c>
      <c r="AX25" s="39" t="n">
        <v>0.8</v>
      </c>
      <c r="AY25" s="39" t="n">
        <v>0.35</v>
      </c>
      <c r="AZ25" s="41" t="n">
        <v>0.5</v>
      </c>
      <c r="BA25" s="40">
        <f>IFERROR(AZ25/(1-AZ25),"")</f>
        <v/>
      </c>
      <c r="BB25" s="40">
        <f>IFERROR(EXP((P25-0.301)/(0.301*(1-0.301))),"")</f>
        <v/>
      </c>
      <c r="BC25" s="40">
        <f>IFERROR(EXP((U25-0.354)/(0.354*(1-0.354))),"")</f>
        <v/>
      </c>
      <c r="BD25" s="40">
        <f>IFERROR(AW25,"")</f>
        <v/>
      </c>
      <c r="BE25" s="40">
        <f>IFERROR(EXP((AX25-0.75)/(0.75*(1-0.75))),"")</f>
        <v/>
      </c>
      <c r="BF25" s="40">
        <f>IFERROR(EXP((AY25-0.5)/(0.5*(1-0.5))),"")</f>
        <v/>
      </c>
      <c r="BG25" s="40">
        <f>IFERROR(BA25*BB25*BC25*BD25*BE25*BF25,"")</f>
        <v/>
      </c>
      <c r="BH25" s="40">
        <f>IFERROR(BG25/(1+BG25),"")</f>
        <v/>
      </c>
      <c r="BI25" s="40">
        <f>IFERROR(IF(BH25&gt;=1,1E9,BH25/(1-BH25)),"")</f>
        <v/>
      </c>
      <c r="BJ25" s="40">
        <f>IFERROR(EXP((AC25-0.372)/(0.372*(1-0.372))),"")</f>
        <v/>
      </c>
      <c r="BK25" s="40">
        <f>IFERROR(EXP((AK25-0.415)/(0.415*(1-0.415))),"")</f>
        <v/>
      </c>
      <c r="BL25" s="40">
        <f>IFERROR(EXP((AT25-0.405)/(0.405*(1-0.405))),"")</f>
        <v/>
      </c>
      <c r="BM25" s="40">
        <f>IFERROR(BI25*BJ25*BK25*BL25,"")</f>
        <v/>
      </c>
      <c r="BN25" s="40">
        <f>IFERROR(BM25/(1+BM25),"")</f>
        <v/>
      </c>
      <c r="BO25" s="40">
        <f>IFERROR(IF(AC25&gt;=1,0.999,1-EXP(1-(1-AC25)^(-0.8))),"")</f>
        <v/>
      </c>
      <c r="BP25" s="40">
        <f>IFERROR(IF(AK25&gt;=1,0.999,1-EXP(1-(1-AK25)^(-0.75))),"")</f>
        <v/>
      </c>
      <c r="BQ25" s="40">
        <f>IFERROR(1-EXP(-AL25*(1+AL25)),"")</f>
        <v/>
      </c>
      <c r="BR25" s="40">
        <f>IFERROR(BQ25^(1-AO25)*AP25*(4*AQ25*(1-AQ25))*AR25^1.15,"")</f>
        <v/>
      </c>
      <c r="BS25" s="40">
        <f>IFERROR(IF(BR25^(1/3)&gt;=1,0.999,1-EXP(1-(1-BR25^(1/3))^(-0.7))),"")</f>
        <v/>
      </c>
      <c r="BT25" s="40">
        <f>1</f>
        <v/>
      </c>
      <c r="BU25" s="40">
        <f>IFERROR(EXP((BO25-0.372)/(0.372*(1-0.372))),"")</f>
        <v/>
      </c>
      <c r="BV25" s="40">
        <f>IFERROR(EXP((BP25-0.415)/(0.415*(1-0.415))),"")</f>
        <v/>
      </c>
      <c r="BW25" s="40">
        <f>IFERROR(EXP((BS25-0.405)/(0.405*(1-0.405))),"")</f>
        <v/>
      </c>
      <c r="BX25" s="40">
        <f>IFERROR(BT25*BU25*BV25*BW25,"")</f>
        <v/>
      </c>
      <c r="BY25" s="40">
        <f>IFERROR(BX25/(1+BX25),"")</f>
        <v/>
      </c>
      <c r="BZ25" s="40">
        <f>IFERROR(EXP(0.15*(SQRT(BH25)-0.5)/(0.5*0.5)),"")</f>
        <v/>
      </c>
      <c r="CA25" s="40">
        <f>IFERROR(IF(BY25&gt;=1,1E9,BY25/(1-BY25)*BZ25),"")</f>
        <v/>
      </c>
      <c r="CB25" s="40">
        <f>IFERROR(CA25/(1+CA25),"")</f>
        <v/>
      </c>
      <c r="CC25" s="42">
        <f>BH25</f>
        <v/>
      </c>
      <c r="CD25" s="42">
        <f>BN25</f>
        <v/>
      </c>
      <c r="CE25" s="42">
        <f>CB25</f>
        <v/>
      </c>
      <c r="CF25" s="43" t="inlineStr">
        <is>
          <t>Known wisdom. Most can't afford gold anyway. Receiver: sad and respectful.</t>
        </is>
      </c>
    </row>
    <row r="26" ht="40" customHeight="1">
      <c r="A26" s="44" t="n">
        <v>24</v>
      </c>
      <c r="B26" s="45" t="inlineStr">
        <is>
          <t>The legal minimum wage (SMIG) in Morocco is barely enough to live on and is frequently not respected by small businesses anyway.</t>
        </is>
      </c>
      <c r="C26" s="44" t="inlineStr">
        <is>
          <t>Economics</t>
        </is>
      </c>
      <c r="D26" s="39" t="n">
        <v>0.9</v>
      </c>
      <c r="E26" s="39" t="n">
        <v>0.9</v>
      </c>
      <c r="F26" s="39" t="n">
        <v>0.88</v>
      </c>
      <c r="G26" s="39" t="n">
        <v>0.9</v>
      </c>
      <c r="H26" s="40">
        <f>IFERROR(AVERAGE(D26,E26,F26,G26),"")</f>
        <v/>
      </c>
      <c r="I26" s="39" t="n">
        <v>0.75</v>
      </c>
      <c r="J26" s="39" t="n">
        <v>0.7</v>
      </c>
      <c r="K26" s="39" t="n">
        <v>0.72</v>
      </c>
      <c r="L26" s="39" t="n">
        <v>0.68</v>
      </c>
      <c r="M26" s="40">
        <f>IFERROR(AVERAGE(I26,J26,K26,L26),"")</f>
        <v/>
      </c>
      <c r="N26" s="39" t="n">
        <v>0.58</v>
      </c>
      <c r="O26" s="39" t="n">
        <v>0.85</v>
      </c>
      <c r="P26" s="40">
        <f>IFERROR(IF(H26=0,0,H26^(H26^(-0.5)))*SQRT(M26)*((4*N26+O26)/5),"")</f>
        <v/>
      </c>
      <c r="Q26" s="39" t="n">
        <v>0.28</v>
      </c>
      <c r="R26" s="39" t="n">
        <v>0.92</v>
      </c>
      <c r="S26" s="39" t="n">
        <v>0.88</v>
      </c>
      <c r="T26" s="39" t="n">
        <v>0.85</v>
      </c>
      <c r="U26" s="40">
        <f>IFERROR(((Q26^1.4+T26)/2)*R26*(1-EXP(-4.605*S26)),"")</f>
        <v/>
      </c>
      <c r="V26" s="39" t="n">
        <v>0.68</v>
      </c>
      <c r="W26" s="39" t="n">
        <v>0.72</v>
      </c>
      <c r="X26" s="39" t="n">
        <v>0.6</v>
      </c>
      <c r="Y26" s="39" t="n">
        <v>0.75</v>
      </c>
      <c r="Z26" s="39" t="n">
        <v>0.48</v>
      </c>
      <c r="AA26" s="39" t="n">
        <v>0.75</v>
      </c>
      <c r="AB26" s="40">
        <f>IFERROR(Z26*(Y26*AA26^1.1)^1.1*((3*V26+2*W26+X26)/6)^0.5,"")</f>
        <v/>
      </c>
      <c r="AC26" s="40">
        <f>IFERROR(SQRT(AB26),"")</f>
        <v/>
      </c>
      <c r="AD26" s="39" t="n">
        <v>0.72</v>
      </c>
      <c r="AE26" s="39" t="n">
        <v>0.55</v>
      </c>
      <c r="AF26" s="40">
        <f>IFERROR(AE26*(1-AE26*H26),"")</f>
        <v/>
      </c>
      <c r="AG26" s="39" t="n">
        <v>0.68</v>
      </c>
      <c r="AH26" s="39" t="n">
        <v>0.85</v>
      </c>
      <c r="AI26" s="39" t="n">
        <v>0.8</v>
      </c>
      <c r="AJ26" s="40">
        <f>IFERROR(AH26^2.1*AG26^0.2*(2*AF26+3*AI26+AD26)/6,"")</f>
        <v/>
      </c>
      <c r="AK26" s="40">
        <f>IFERROR(SQRT(AJ26),"")</f>
        <v/>
      </c>
      <c r="AL26" s="39" t="n">
        <v>0.18</v>
      </c>
      <c r="AM26" s="40">
        <f>IFERROR(1-EXP(-AL26),"")</f>
        <v/>
      </c>
      <c r="AN26" s="40">
        <f>IFERROR(4.18*AM26^0.7*(1-AM26)^1.5,"")</f>
        <v/>
      </c>
      <c r="AO26" s="39" t="n">
        <v>0.75</v>
      </c>
      <c r="AP26" s="39" t="n">
        <v>0.52</v>
      </c>
      <c r="AQ26" s="39" t="n">
        <v>0.65</v>
      </c>
      <c r="AR26" s="39" t="n">
        <v>0.9</v>
      </c>
      <c r="AS26" s="40">
        <f>IFERROR(AN26^(1-AO26)*AP26*(4*AQ26*(1-AQ26))*AR26^1.15,"")</f>
        <v/>
      </c>
      <c r="AT26" s="40">
        <f>IFERROR(AS26^(1/3),"")</f>
        <v/>
      </c>
      <c r="AU26" s="39" t="n">
        <v>1.8</v>
      </c>
      <c r="AV26" s="39" t="n">
        <v>3</v>
      </c>
      <c r="AW26" s="40">
        <f>IFERROR(IF(AV26&lt;=1,AU26,AU26*(1+(AV26-1)*0.6)),"")</f>
        <v/>
      </c>
      <c r="AX26" s="39" t="n">
        <v>0.88</v>
      </c>
      <c r="AY26" s="39" t="n">
        <v>0.4</v>
      </c>
      <c r="AZ26" s="41" t="n">
        <v>0.5</v>
      </c>
      <c r="BA26" s="40">
        <f>IFERROR(AZ26/(1-AZ26),"")</f>
        <v/>
      </c>
      <c r="BB26" s="40">
        <f>IFERROR(EXP((P26-0.301)/(0.301*(1-0.301))),"")</f>
        <v/>
      </c>
      <c r="BC26" s="40">
        <f>IFERROR(EXP((U26-0.354)/(0.354*(1-0.354))),"")</f>
        <v/>
      </c>
      <c r="BD26" s="40">
        <f>IFERROR(AW26,"")</f>
        <v/>
      </c>
      <c r="BE26" s="40">
        <f>IFERROR(EXP((AX26-0.75)/(0.75*(1-0.75))),"")</f>
        <v/>
      </c>
      <c r="BF26" s="40">
        <f>IFERROR(EXP((AY26-0.5)/(0.5*(1-0.5))),"")</f>
        <v/>
      </c>
      <c r="BG26" s="40">
        <f>IFERROR(BA26*BB26*BC26*BD26*BE26*BF26,"")</f>
        <v/>
      </c>
      <c r="BH26" s="40">
        <f>IFERROR(BG26/(1+BG26),"")</f>
        <v/>
      </c>
      <c r="BI26" s="40">
        <f>IFERROR(IF(BH26&gt;=1,1E9,BH26/(1-BH26)),"")</f>
        <v/>
      </c>
      <c r="BJ26" s="40">
        <f>IFERROR(EXP((AC26-0.372)/(0.372*(1-0.372))),"")</f>
        <v/>
      </c>
      <c r="BK26" s="40">
        <f>IFERROR(EXP((AK26-0.415)/(0.415*(1-0.415))),"")</f>
        <v/>
      </c>
      <c r="BL26" s="40">
        <f>IFERROR(EXP((AT26-0.405)/(0.405*(1-0.405))),"")</f>
        <v/>
      </c>
      <c r="BM26" s="40">
        <f>IFERROR(BI26*BJ26*BK26*BL26,"")</f>
        <v/>
      </c>
      <c r="BN26" s="40">
        <f>IFERROR(BM26/(1+BM26),"")</f>
        <v/>
      </c>
      <c r="BO26" s="40">
        <f>IFERROR(IF(AC26&gt;=1,0.999,1-EXP(1-(1-AC26)^(-0.8))),"")</f>
        <v/>
      </c>
      <c r="BP26" s="40">
        <f>IFERROR(IF(AK26&gt;=1,0.999,1-EXP(1-(1-AK26)^(-0.75))),"")</f>
        <v/>
      </c>
      <c r="BQ26" s="40">
        <f>IFERROR(1-EXP(-AL26*(1+AL26)),"")</f>
        <v/>
      </c>
      <c r="BR26" s="40">
        <f>IFERROR(BQ26^(1-AO26)*AP26*(4*AQ26*(1-AQ26))*AR26^1.15,"")</f>
        <v/>
      </c>
      <c r="BS26" s="40">
        <f>IFERROR(IF(BR26^(1/3)&gt;=1,0.999,1-EXP(1-(1-BR26^(1/3))^(-0.7))),"")</f>
        <v/>
      </c>
      <c r="BT26" s="40">
        <f>1</f>
        <v/>
      </c>
      <c r="BU26" s="40">
        <f>IFERROR(EXP((BO26-0.372)/(0.372*(1-0.372))),"")</f>
        <v/>
      </c>
      <c r="BV26" s="40">
        <f>IFERROR(EXP((BP26-0.415)/(0.415*(1-0.415))),"")</f>
        <v/>
      </c>
      <c r="BW26" s="40">
        <f>IFERROR(EXP((BS26-0.405)/(0.405*(1-0.405))),"")</f>
        <v/>
      </c>
      <c r="BX26" s="40">
        <f>IFERROR(BT26*BU26*BV26*BW26,"")</f>
        <v/>
      </c>
      <c r="BY26" s="40">
        <f>IFERROR(BX26/(1+BX26),"")</f>
        <v/>
      </c>
      <c r="BZ26" s="40">
        <f>IFERROR(EXP(0.15*(SQRT(BH26)-0.5)/(0.5*0.5)),"")</f>
        <v/>
      </c>
      <c r="CA26" s="40">
        <f>IFERROR(IF(BY26&gt;=1,1E9,BY26/(1-BY26)*BZ26),"")</f>
        <v/>
      </c>
      <c r="CB26" s="40">
        <f>IFERROR(CA26/(1+CA26),"")</f>
        <v/>
      </c>
      <c r="CC26" s="42">
        <f>BH26</f>
        <v/>
      </c>
      <c r="CD26" s="42">
        <f>BN26</f>
        <v/>
      </c>
      <c r="CE26" s="42">
        <f>CB26</f>
        <v/>
      </c>
      <c r="CF26" s="43" t="inlineStr">
        <is>
          <t>Universally known lived reality. Very high personal consequence.</t>
        </is>
      </c>
    </row>
    <row r="27" ht="40" customHeight="1">
      <c r="A27" s="44" t="n">
        <v>25</v>
      </c>
      <c r="B27" s="45" t="inlineStr">
        <is>
          <t>A family of four needs well above minimum wage to live decently in a mid-sized Moroccan city.</t>
        </is>
      </c>
      <c r="C27" s="44" t="inlineStr">
        <is>
          <t>Economics</t>
        </is>
      </c>
      <c r="D27" s="39" t="n">
        <v>0.9</v>
      </c>
      <c r="E27" s="39" t="n">
        <v>0.9</v>
      </c>
      <c r="F27" s="39" t="n">
        <v>0.88</v>
      </c>
      <c r="G27" s="39" t="n">
        <v>0.9</v>
      </c>
      <c r="H27" s="40">
        <f>IFERROR(AVERAGE(D27,E27,F27,G27),"")</f>
        <v/>
      </c>
      <c r="I27" s="39" t="n">
        <v>0.75</v>
      </c>
      <c r="J27" s="39" t="n">
        <v>0.7</v>
      </c>
      <c r="K27" s="39" t="n">
        <v>0.72</v>
      </c>
      <c r="L27" s="39" t="n">
        <v>0.68</v>
      </c>
      <c r="M27" s="40">
        <f>IFERROR(AVERAGE(I27,J27,K27,L27),"")</f>
        <v/>
      </c>
      <c r="N27" s="39" t="n">
        <v>0.58</v>
      </c>
      <c r="O27" s="39" t="n">
        <v>0.85</v>
      </c>
      <c r="P27" s="40">
        <f>IFERROR(IF(H27=0,0,H27^(H27^(-0.5)))*SQRT(M27)*((4*N27+O27)/5),"")</f>
        <v/>
      </c>
      <c r="Q27" s="39" t="n">
        <v>0.28</v>
      </c>
      <c r="R27" s="39" t="n">
        <v>0.92</v>
      </c>
      <c r="S27" s="39" t="n">
        <v>0.88</v>
      </c>
      <c r="T27" s="39" t="n">
        <v>0.85</v>
      </c>
      <c r="U27" s="40">
        <f>IFERROR(((Q27^1.4+T27)/2)*R27*(1-EXP(-4.605*S27)),"")</f>
        <v/>
      </c>
      <c r="V27" s="39" t="n">
        <v>0.68</v>
      </c>
      <c r="W27" s="39" t="n">
        <v>0.72</v>
      </c>
      <c r="X27" s="39" t="n">
        <v>0.6</v>
      </c>
      <c r="Y27" s="39" t="n">
        <v>0.75</v>
      </c>
      <c r="Z27" s="39" t="n">
        <v>0.48</v>
      </c>
      <c r="AA27" s="39" t="n">
        <v>0.75</v>
      </c>
      <c r="AB27" s="40">
        <f>IFERROR(Z27*(Y27*AA27^1.1)^1.1*((3*V27+2*W27+X27)/6)^0.5,"")</f>
        <v/>
      </c>
      <c r="AC27" s="40">
        <f>IFERROR(SQRT(AB27),"")</f>
        <v/>
      </c>
      <c r="AD27" s="39" t="n">
        <v>0.72</v>
      </c>
      <c r="AE27" s="39" t="n">
        <v>0.55</v>
      </c>
      <c r="AF27" s="40">
        <f>IFERROR(AE27*(1-AE27*H27),"")</f>
        <v/>
      </c>
      <c r="AG27" s="39" t="n">
        <v>0.68</v>
      </c>
      <c r="AH27" s="39" t="n">
        <v>0.85</v>
      </c>
      <c r="AI27" s="39" t="n">
        <v>0.8</v>
      </c>
      <c r="AJ27" s="40">
        <f>IFERROR(AH27^2.1*AG27^0.2*(2*AF27+3*AI27+AD27)/6,"")</f>
        <v/>
      </c>
      <c r="AK27" s="40">
        <f>IFERROR(SQRT(AJ27),"")</f>
        <v/>
      </c>
      <c r="AL27" s="39" t="n">
        <v>0.15</v>
      </c>
      <c r="AM27" s="40">
        <f>IFERROR(1-EXP(-AL27),"")</f>
        <v/>
      </c>
      <c r="AN27" s="40">
        <f>IFERROR(4.18*AM27^0.7*(1-AM27)^1.5,"")</f>
        <v/>
      </c>
      <c r="AO27" s="39" t="n">
        <v>0.75</v>
      </c>
      <c r="AP27" s="39" t="n">
        <v>0.52</v>
      </c>
      <c r="AQ27" s="39" t="n">
        <v>0.65</v>
      </c>
      <c r="AR27" s="39" t="n">
        <v>0.9</v>
      </c>
      <c r="AS27" s="40">
        <f>IFERROR(AN27^(1-AO27)*AP27*(4*AQ27*(1-AQ27))*AR27^1.15,"")</f>
        <v/>
      </c>
      <c r="AT27" s="40">
        <f>IFERROR(AS27^(1/3),"")</f>
        <v/>
      </c>
      <c r="AU27" s="39" t="n">
        <v>1.8</v>
      </c>
      <c r="AV27" s="39" t="n">
        <v>3</v>
      </c>
      <c r="AW27" s="40">
        <f>IFERROR(IF(AV27&lt;=1,AU27,AU27*(1+(AV27-1)*0.6)),"")</f>
        <v/>
      </c>
      <c r="AX27" s="39" t="n">
        <v>0.88</v>
      </c>
      <c r="AY27" s="39" t="n">
        <v>0.42</v>
      </c>
      <c r="AZ27" s="41" t="n">
        <v>0.5</v>
      </c>
      <c r="BA27" s="40">
        <f>IFERROR(AZ27/(1-AZ27),"")</f>
        <v/>
      </c>
      <c r="BB27" s="40">
        <f>IFERROR(EXP((P27-0.301)/(0.301*(1-0.301))),"")</f>
        <v/>
      </c>
      <c r="BC27" s="40">
        <f>IFERROR(EXP((U27-0.354)/(0.354*(1-0.354))),"")</f>
        <v/>
      </c>
      <c r="BD27" s="40">
        <f>IFERROR(AW27,"")</f>
        <v/>
      </c>
      <c r="BE27" s="40">
        <f>IFERROR(EXP((AX27-0.75)/(0.75*(1-0.75))),"")</f>
        <v/>
      </c>
      <c r="BF27" s="40">
        <f>IFERROR(EXP((AY27-0.5)/(0.5*(1-0.5))),"")</f>
        <v/>
      </c>
      <c r="BG27" s="40">
        <f>IFERROR(BA27*BB27*BC27*BD27*BE27*BF27,"")</f>
        <v/>
      </c>
      <c r="BH27" s="40">
        <f>IFERROR(BG27/(1+BG27),"")</f>
        <v/>
      </c>
      <c r="BI27" s="40">
        <f>IFERROR(IF(BH27&gt;=1,1E9,BH27/(1-BH27)),"")</f>
        <v/>
      </c>
      <c r="BJ27" s="40">
        <f>IFERROR(EXP((AC27-0.372)/(0.372*(1-0.372))),"")</f>
        <v/>
      </c>
      <c r="BK27" s="40">
        <f>IFERROR(EXP((AK27-0.415)/(0.415*(1-0.415))),"")</f>
        <v/>
      </c>
      <c r="BL27" s="40">
        <f>IFERROR(EXP((AT27-0.405)/(0.405*(1-0.405))),"")</f>
        <v/>
      </c>
      <c r="BM27" s="40">
        <f>IFERROR(BI27*BJ27*BK27*BL27,"")</f>
        <v/>
      </c>
      <c r="BN27" s="40">
        <f>IFERROR(BM27/(1+BM27),"")</f>
        <v/>
      </c>
      <c r="BO27" s="40">
        <f>IFERROR(IF(AC27&gt;=1,0.999,1-EXP(1-(1-AC27)^(-0.8))),"")</f>
        <v/>
      </c>
      <c r="BP27" s="40">
        <f>IFERROR(IF(AK27&gt;=1,0.999,1-EXP(1-(1-AK27)^(-0.75))),"")</f>
        <v/>
      </c>
      <c r="BQ27" s="40">
        <f>IFERROR(1-EXP(-AL27*(1+AL27)),"")</f>
        <v/>
      </c>
      <c r="BR27" s="40">
        <f>IFERROR(BQ27^(1-AO27)*AP27*(4*AQ27*(1-AQ27))*AR27^1.15,"")</f>
        <v/>
      </c>
      <c r="BS27" s="40">
        <f>IFERROR(IF(BR27^(1/3)&gt;=1,0.999,1-EXP(1-(1-BR27^(1/3))^(-0.7))),"")</f>
        <v/>
      </c>
      <c r="BT27" s="40">
        <f>1</f>
        <v/>
      </c>
      <c r="BU27" s="40">
        <f>IFERROR(EXP((BO27-0.372)/(0.372*(1-0.372))),"")</f>
        <v/>
      </c>
      <c r="BV27" s="40">
        <f>IFERROR(EXP((BP27-0.415)/(0.415*(1-0.415))),"")</f>
        <v/>
      </c>
      <c r="BW27" s="40">
        <f>IFERROR(EXP((BS27-0.405)/(0.405*(1-0.405))),"")</f>
        <v/>
      </c>
      <c r="BX27" s="40">
        <f>IFERROR(BT27*BU27*BV27*BW27,"")</f>
        <v/>
      </c>
      <c r="BY27" s="40">
        <f>IFERROR(BX27/(1+BX27),"")</f>
        <v/>
      </c>
      <c r="BZ27" s="40">
        <f>IFERROR(EXP(0.15*(SQRT(BH27)-0.5)/(0.5*0.5)),"")</f>
        <v/>
      </c>
      <c r="CA27" s="40">
        <f>IFERROR(IF(BY27&gt;=1,1E9,BY27/(1-BY27)*BZ27),"")</f>
        <v/>
      </c>
      <c r="CB27" s="40">
        <f>IFERROR(CA27/(1+CA27),"")</f>
        <v/>
      </c>
      <c r="CC27" s="42">
        <f>BH27</f>
        <v/>
      </c>
      <c r="CD27" s="42">
        <f>BN27</f>
        <v/>
      </c>
      <c r="CE27" s="42">
        <f>CB27</f>
        <v/>
      </c>
      <c r="CF27" s="43" t="inlineStr">
        <is>
          <t>Universally felt. Receiver has direct family experience.</t>
        </is>
      </c>
    </row>
    <row r="28" ht="40" customHeight="1">
      <c r="A28" s="44" t="n">
        <v>26</v>
      </c>
      <c r="B28" s="45" t="inlineStr">
        <is>
          <t>In Casablanca and Rabat, a decent family life costs far more than most salaries actually pay.</t>
        </is>
      </c>
      <c r="C28" s="44" t="inlineStr">
        <is>
          <t>Economics</t>
        </is>
      </c>
      <c r="D28" s="39" t="n">
        <v>0.88</v>
      </c>
      <c r="E28" s="39" t="n">
        <v>0.88</v>
      </c>
      <c r="F28" s="39" t="n">
        <v>0.85</v>
      </c>
      <c r="G28" s="39" t="n">
        <v>0.88</v>
      </c>
      <c r="H28" s="40">
        <f>IFERROR(AVERAGE(D28,E28,F28,G28),"")</f>
        <v/>
      </c>
      <c r="I28" s="39" t="n">
        <v>0.72</v>
      </c>
      <c r="J28" s="39" t="n">
        <v>0.68</v>
      </c>
      <c r="K28" s="39" t="n">
        <v>0.7</v>
      </c>
      <c r="L28" s="39" t="n">
        <v>0.65</v>
      </c>
      <c r="M28" s="40">
        <f>IFERROR(AVERAGE(I28,J28,K28,L28),"")</f>
        <v/>
      </c>
      <c r="N28" s="39" t="n">
        <v>0.55</v>
      </c>
      <c r="O28" s="39" t="n">
        <v>0.8</v>
      </c>
      <c r="P28" s="40">
        <f>IFERROR(IF(H28=0,0,H28^(H28^(-0.5)))*SQRT(M28)*((4*N28+O28)/5),"")</f>
        <v/>
      </c>
      <c r="Q28" s="39" t="n">
        <v>0.35</v>
      </c>
      <c r="R28" s="39" t="n">
        <v>0.9</v>
      </c>
      <c r="S28" s="39" t="n">
        <v>0.88</v>
      </c>
      <c r="T28" s="39" t="n">
        <v>0.82</v>
      </c>
      <c r="U28" s="40">
        <f>IFERROR(((Q28^1.4+T28)/2)*R28*(1-EXP(-4.605*S28)),"")</f>
        <v/>
      </c>
      <c r="V28" s="39" t="n">
        <v>0.65</v>
      </c>
      <c r="W28" s="39" t="n">
        <v>0.7</v>
      </c>
      <c r="X28" s="39" t="n">
        <v>0.6</v>
      </c>
      <c r="Y28" s="39" t="n">
        <v>0.7</v>
      </c>
      <c r="Z28" s="39" t="n">
        <v>0.45</v>
      </c>
      <c r="AA28" s="39" t="n">
        <v>0.7</v>
      </c>
      <c r="AB28" s="40">
        <f>IFERROR(Z28*(Y28*AA28^1.1)^1.1*((3*V28+2*W28+X28)/6)^0.5,"")</f>
        <v/>
      </c>
      <c r="AC28" s="40">
        <f>IFERROR(SQRT(AB28),"")</f>
        <v/>
      </c>
      <c r="AD28" s="39" t="n">
        <v>0.68</v>
      </c>
      <c r="AE28" s="39" t="n">
        <v>0.5</v>
      </c>
      <c r="AF28" s="40">
        <f>IFERROR(AE28*(1-AE28*H28),"")</f>
        <v/>
      </c>
      <c r="AG28" s="39" t="n">
        <v>0.65</v>
      </c>
      <c r="AH28" s="39" t="n">
        <v>0.82</v>
      </c>
      <c r="AI28" s="39" t="n">
        <v>0.75</v>
      </c>
      <c r="AJ28" s="40">
        <f>IFERROR(AH28^2.1*AG28^0.2*(2*AF28+3*AI28+AD28)/6,"")</f>
        <v/>
      </c>
      <c r="AK28" s="40">
        <f>IFERROR(SQRT(AJ28),"")</f>
        <v/>
      </c>
      <c r="AL28" s="39" t="n">
        <v>0.3</v>
      </c>
      <c r="AM28" s="40">
        <f>IFERROR(1-EXP(-AL28),"")</f>
        <v/>
      </c>
      <c r="AN28" s="40">
        <f>IFERROR(4.18*AM28^0.7*(1-AM28)^1.5,"")</f>
        <v/>
      </c>
      <c r="AO28" s="39" t="n">
        <v>0.72</v>
      </c>
      <c r="AP28" s="39" t="n">
        <v>0.5</v>
      </c>
      <c r="AQ28" s="39" t="n">
        <v>0.62</v>
      </c>
      <c r="AR28" s="39" t="n">
        <v>0.78</v>
      </c>
      <c r="AS28" s="40">
        <f>IFERROR(AN28^(1-AO28)*AP28*(4*AQ28*(1-AQ28))*AR28^1.15,"")</f>
        <v/>
      </c>
      <c r="AT28" s="40">
        <f>IFERROR(AS28^(1/3),"")</f>
        <v/>
      </c>
      <c r="AU28" s="39" t="n">
        <v>1.7</v>
      </c>
      <c r="AV28" s="39" t="n">
        <v>2</v>
      </c>
      <c r="AW28" s="40">
        <f>IFERROR(IF(AV28&lt;=1,AU28,AU28*(1+(AV28-1)*0.6)),"")</f>
        <v/>
      </c>
      <c r="AX28" s="39" t="n">
        <v>0.88</v>
      </c>
      <c r="AY28" s="39" t="n">
        <v>0.4</v>
      </c>
      <c r="AZ28" s="41" t="n">
        <v>0.5</v>
      </c>
      <c r="BA28" s="40">
        <f>IFERROR(AZ28/(1-AZ28),"")</f>
        <v/>
      </c>
      <c r="BB28" s="40">
        <f>IFERROR(EXP((P28-0.301)/(0.301*(1-0.301))),"")</f>
        <v/>
      </c>
      <c r="BC28" s="40">
        <f>IFERROR(EXP((U28-0.354)/(0.354*(1-0.354))),"")</f>
        <v/>
      </c>
      <c r="BD28" s="40">
        <f>IFERROR(AW28,"")</f>
        <v/>
      </c>
      <c r="BE28" s="40">
        <f>IFERROR(EXP((AX28-0.75)/(0.75*(1-0.75))),"")</f>
        <v/>
      </c>
      <c r="BF28" s="40">
        <f>IFERROR(EXP((AY28-0.5)/(0.5*(1-0.5))),"")</f>
        <v/>
      </c>
      <c r="BG28" s="40">
        <f>IFERROR(BA28*BB28*BC28*BD28*BE28*BF28,"")</f>
        <v/>
      </c>
      <c r="BH28" s="40">
        <f>IFERROR(BG28/(1+BG28),"")</f>
        <v/>
      </c>
      <c r="BI28" s="40">
        <f>IFERROR(IF(BH28&gt;=1,1E9,BH28/(1-BH28)),"")</f>
        <v/>
      </c>
      <c r="BJ28" s="40">
        <f>IFERROR(EXP((AC28-0.372)/(0.372*(1-0.372))),"")</f>
        <v/>
      </c>
      <c r="BK28" s="40">
        <f>IFERROR(EXP((AK28-0.415)/(0.415*(1-0.415))),"")</f>
        <v/>
      </c>
      <c r="BL28" s="40">
        <f>IFERROR(EXP((AT28-0.405)/(0.405*(1-0.405))),"")</f>
        <v/>
      </c>
      <c r="BM28" s="40">
        <f>IFERROR(BI28*BJ28*BK28*BL28,"")</f>
        <v/>
      </c>
      <c r="BN28" s="40">
        <f>IFERROR(BM28/(1+BM28),"")</f>
        <v/>
      </c>
      <c r="BO28" s="40">
        <f>IFERROR(IF(AC28&gt;=1,0.999,1-EXP(1-(1-AC28)^(-0.8))),"")</f>
        <v/>
      </c>
      <c r="BP28" s="40">
        <f>IFERROR(IF(AK28&gt;=1,0.999,1-EXP(1-(1-AK28)^(-0.75))),"")</f>
        <v/>
      </c>
      <c r="BQ28" s="40">
        <f>IFERROR(1-EXP(-AL28*(1+AL28)),"")</f>
        <v/>
      </c>
      <c r="BR28" s="40">
        <f>IFERROR(BQ28^(1-AO28)*AP28*(4*AQ28*(1-AQ28))*AR28^1.15,"")</f>
        <v/>
      </c>
      <c r="BS28" s="40">
        <f>IFERROR(IF(BR28^(1/3)&gt;=1,0.999,1-EXP(1-(1-BR28^(1/3))^(-0.7))),"")</f>
        <v/>
      </c>
      <c r="BT28" s="40">
        <f>1</f>
        <v/>
      </c>
      <c r="BU28" s="40">
        <f>IFERROR(EXP((BO28-0.372)/(0.372*(1-0.372))),"")</f>
        <v/>
      </c>
      <c r="BV28" s="40">
        <f>IFERROR(EXP((BP28-0.415)/(0.415*(1-0.415))),"")</f>
        <v/>
      </c>
      <c r="BW28" s="40">
        <f>IFERROR(EXP((BS28-0.405)/(0.405*(1-0.405))),"")</f>
        <v/>
      </c>
      <c r="BX28" s="40">
        <f>IFERROR(BT28*BU28*BV28*BW28,"")</f>
        <v/>
      </c>
      <c r="BY28" s="40">
        <f>IFERROR(BX28/(1+BX28),"")</f>
        <v/>
      </c>
      <c r="BZ28" s="40">
        <f>IFERROR(EXP(0.15*(SQRT(BH28)-0.5)/(0.5*0.5)),"")</f>
        <v/>
      </c>
      <c r="CA28" s="40">
        <f>IFERROR(IF(BY28&gt;=1,1E9,BY28/(1-BY28)*BZ28),"")</f>
        <v/>
      </c>
      <c r="CB28" s="40">
        <f>IFERROR(CA28/(1+CA28),"")</f>
        <v/>
      </c>
      <c r="CC28" s="42">
        <f>BH28</f>
        <v/>
      </c>
      <c r="CD28" s="42">
        <f>BN28</f>
        <v/>
      </c>
      <c r="CE28" s="42">
        <f>CB28</f>
        <v/>
      </c>
      <c r="CF28" s="43" t="inlineStr">
        <is>
          <t>Widely known from media and contacts in big cities.</t>
        </is>
      </c>
    </row>
    <row r="29" ht="40" customHeight="1">
      <c r="A29" s="44" t="n">
        <v>27</v>
      </c>
      <c r="B29" s="45" t="inlineStr">
        <is>
          <t>Many Moroccan families live on very little and do not consider themselves poor.</t>
        </is>
      </c>
      <c r="C29" s="44" t="inlineStr">
        <is>
          <t>Economics</t>
        </is>
      </c>
      <c r="D29" s="39" t="n">
        <v>0.9</v>
      </c>
      <c r="E29" s="39" t="n">
        <v>0.9</v>
      </c>
      <c r="F29" s="39" t="n">
        <v>0.9</v>
      </c>
      <c r="G29" s="39" t="n">
        <v>0.9</v>
      </c>
      <c r="H29" s="40">
        <f>IFERROR(AVERAGE(D29,E29,F29,G29),"")</f>
        <v/>
      </c>
      <c r="I29" s="39" t="n">
        <v>0.72</v>
      </c>
      <c r="J29" s="39" t="n">
        <v>0.68</v>
      </c>
      <c r="K29" s="39" t="n">
        <v>0.72</v>
      </c>
      <c r="L29" s="39" t="n">
        <v>0.68</v>
      </c>
      <c r="M29" s="40">
        <f>IFERROR(AVERAGE(I29,J29,K29,L29),"")</f>
        <v/>
      </c>
      <c r="N29" s="39" t="n">
        <v>0.58</v>
      </c>
      <c r="O29" s="39" t="n">
        <v>0.82</v>
      </c>
      <c r="P29" s="40">
        <f>IFERROR(IF(H29=0,0,H29^(H29^(-0.5)))*SQRT(M29)*((4*N29+O29)/5),"")</f>
        <v/>
      </c>
      <c r="Q29" s="39" t="n">
        <v>0.45</v>
      </c>
      <c r="R29" s="39" t="n">
        <v>0.88</v>
      </c>
      <c r="S29" s="39" t="n">
        <v>0.85</v>
      </c>
      <c r="T29" s="39" t="n">
        <v>0.82</v>
      </c>
      <c r="U29" s="40">
        <f>IFERROR(((Q29^1.4+T29)/2)*R29*(1-EXP(-4.605*S29)),"")</f>
        <v/>
      </c>
      <c r="V29" s="39" t="n">
        <v>0.65</v>
      </c>
      <c r="W29" s="39" t="n">
        <v>0.7</v>
      </c>
      <c r="X29" s="39" t="n">
        <v>0.6</v>
      </c>
      <c r="Y29" s="39" t="n">
        <v>0.72</v>
      </c>
      <c r="Z29" s="39" t="n">
        <v>0.48</v>
      </c>
      <c r="AA29" s="39" t="n">
        <v>0.7</v>
      </c>
      <c r="AB29" s="40">
        <f>IFERROR(Z29*(Y29*AA29^1.1)^1.1*((3*V29+2*W29+X29)/6)^0.5,"")</f>
        <v/>
      </c>
      <c r="AC29" s="40">
        <f>IFERROR(SQRT(AB29),"")</f>
        <v/>
      </c>
      <c r="AD29" s="39" t="n">
        <v>0.7</v>
      </c>
      <c r="AE29" s="39" t="n">
        <v>0.55</v>
      </c>
      <c r="AF29" s="40">
        <f>IFERROR(AE29*(1-AE29*H29),"")</f>
        <v/>
      </c>
      <c r="AG29" s="39" t="n">
        <v>0.65</v>
      </c>
      <c r="AH29" s="39" t="n">
        <v>0.82</v>
      </c>
      <c r="AI29" s="39" t="n">
        <v>0.78</v>
      </c>
      <c r="AJ29" s="40">
        <f>IFERROR(AH29^2.1*AG29^0.2*(2*AF29+3*AI29+AD29)/6,"")</f>
        <v/>
      </c>
      <c r="AK29" s="40">
        <f>IFERROR(SQRT(AJ29),"")</f>
        <v/>
      </c>
      <c r="AL29" s="39" t="n">
        <v>0.25</v>
      </c>
      <c r="AM29" s="40">
        <f>IFERROR(1-EXP(-AL29),"")</f>
        <v/>
      </c>
      <c r="AN29" s="40">
        <f>IFERROR(4.18*AM29^0.7*(1-AM29)^1.5,"")</f>
        <v/>
      </c>
      <c r="AO29" s="39" t="n">
        <v>0.75</v>
      </c>
      <c r="AP29" s="39" t="n">
        <v>0.55</v>
      </c>
      <c r="AQ29" s="39" t="n">
        <v>0.6</v>
      </c>
      <c r="AR29" s="39" t="n">
        <v>0.9</v>
      </c>
      <c r="AS29" s="40">
        <f>IFERROR(AN29^(1-AO29)*AP29*(4*AQ29*(1-AQ29))*AR29^1.15,"")</f>
        <v/>
      </c>
      <c r="AT29" s="40">
        <f>IFERROR(AS29^(1/3),"")</f>
        <v/>
      </c>
      <c r="AU29" s="39" t="n">
        <v>1.5</v>
      </c>
      <c r="AV29" s="39" t="n">
        <v>2</v>
      </c>
      <c r="AW29" s="40">
        <f>IFERROR(IF(AV29&lt;=1,AU29,AU29*(1+(AV29-1)*0.6)),"")</f>
        <v/>
      </c>
      <c r="AX29" s="39" t="n">
        <v>0.85</v>
      </c>
      <c r="AY29" s="39" t="n">
        <v>0.38</v>
      </c>
      <c r="AZ29" s="41" t="n">
        <v>0.5</v>
      </c>
      <c r="BA29" s="40">
        <f>IFERROR(AZ29/(1-AZ29),"")</f>
        <v/>
      </c>
      <c r="BB29" s="40">
        <f>IFERROR(EXP((P29-0.301)/(0.301*(1-0.301))),"")</f>
        <v/>
      </c>
      <c r="BC29" s="40">
        <f>IFERROR(EXP((U29-0.354)/(0.354*(1-0.354))),"")</f>
        <v/>
      </c>
      <c r="BD29" s="40">
        <f>IFERROR(AW29,"")</f>
        <v/>
      </c>
      <c r="BE29" s="40">
        <f>IFERROR(EXP((AX29-0.75)/(0.75*(1-0.75))),"")</f>
        <v/>
      </c>
      <c r="BF29" s="40">
        <f>IFERROR(EXP((AY29-0.5)/(0.5*(1-0.5))),"")</f>
        <v/>
      </c>
      <c r="BG29" s="40">
        <f>IFERROR(BA29*BB29*BC29*BD29*BE29*BF29,"")</f>
        <v/>
      </c>
      <c r="BH29" s="40">
        <f>IFERROR(BG29/(1+BG29),"")</f>
        <v/>
      </c>
      <c r="BI29" s="40">
        <f>IFERROR(IF(BH29&gt;=1,1E9,BH29/(1-BH29)),"")</f>
        <v/>
      </c>
      <c r="BJ29" s="40">
        <f>IFERROR(EXP((AC29-0.372)/(0.372*(1-0.372))),"")</f>
        <v/>
      </c>
      <c r="BK29" s="40">
        <f>IFERROR(EXP((AK29-0.415)/(0.415*(1-0.415))),"")</f>
        <v/>
      </c>
      <c r="BL29" s="40">
        <f>IFERROR(EXP((AT29-0.405)/(0.405*(1-0.405))),"")</f>
        <v/>
      </c>
      <c r="BM29" s="40">
        <f>IFERROR(BI29*BJ29*BK29*BL29,"")</f>
        <v/>
      </c>
      <c r="BN29" s="40">
        <f>IFERROR(BM29/(1+BM29),"")</f>
        <v/>
      </c>
      <c r="BO29" s="40">
        <f>IFERROR(IF(AC29&gt;=1,0.999,1-EXP(1-(1-AC29)^(-0.8))),"")</f>
        <v/>
      </c>
      <c r="BP29" s="40">
        <f>IFERROR(IF(AK29&gt;=1,0.999,1-EXP(1-(1-AK29)^(-0.75))),"")</f>
        <v/>
      </c>
      <c r="BQ29" s="40">
        <f>IFERROR(1-EXP(-AL29*(1+AL29)),"")</f>
        <v/>
      </c>
      <c r="BR29" s="40">
        <f>IFERROR(BQ29^(1-AO29)*AP29*(4*AQ29*(1-AQ29))*AR29^1.15,"")</f>
        <v/>
      </c>
      <c r="BS29" s="40">
        <f>IFERROR(IF(BR29^(1/3)&gt;=1,0.999,1-EXP(1-(1-BR29^(1/3))^(-0.7))),"")</f>
        <v/>
      </c>
      <c r="BT29" s="40">
        <f>1</f>
        <v/>
      </c>
      <c r="BU29" s="40">
        <f>IFERROR(EXP((BO29-0.372)/(0.372*(1-0.372))),"")</f>
        <v/>
      </c>
      <c r="BV29" s="40">
        <f>IFERROR(EXP((BP29-0.415)/(0.415*(1-0.415))),"")</f>
        <v/>
      </c>
      <c r="BW29" s="40">
        <f>IFERROR(EXP((BS29-0.405)/(0.405*(1-0.405))),"")</f>
        <v/>
      </c>
      <c r="BX29" s="40">
        <f>IFERROR(BT29*BU29*BV29*BW29,"")</f>
        <v/>
      </c>
      <c r="BY29" s="40">
        <f>IFERROR(BX29/(1+BX29),"")</f>
        <v/>
      </c>
      <c r="BZ29" s="40">
        <f>IFERROR(EXP(0.15*(SQRT(BH29)-0.5)/(0.5*0.5)),"")</f>
        <v/>
      </c>
      <c r="CA29" s="40">
        <f>IFERROR(IF(BY29&gt;=1,1E9,BY29/(1-BY29)*BZ29),"")</f>
        <v/>
      </c>
      <c r="CB29" s="40">
        <f>IFERROR(CA29/(1+CA29),"")</f>
        <v/>
      </c>
      <c r="CC29" s="42">
        <f>BH29</f>
        <v/>
      </c>
      <c r="CD29" s="42">
        <f>BN29</f>
        <v/>
      </c>
      <c r="CE29" s="42">
        <f>CB29</f>
        <v/>
      </c>
      <c r="CF29" s="43" t="inlineStr">
        <is>
          <t>Receiver's own context. Emotionally close. Dignity in poverty observation.</t>
        </is>
      </c>
    </row>
    <row r="30" ht="40" customHeight="1">
      <c r="A30" s="44" t="n">
        <v>28</v>
      </c>
      <c r="B30" s="45" t="inlineStr">
        <is>
          <t>Fully private school teachers in Morocco can earn barely above minimum wage with no social insurance, even after years of experience.</t>
        </is>
      </c>
      <c r="C30" s="44" t="inlineStr">
        <is>
          <t>Economics</t>
        </is>
      </c>
      <c r="D30" s="39" t="n">
        <v>0.88</v>
      </c>
      <c r="E30" s="39" t="n">
        <v>0.88</v>
      </c>
      <c r="F30" s="39" t="n">
        <v>0.85</v>
      </c>
      <c r="G30" s="39" t="n">
        <v>0.88</v>
      </c>
      <c r="H30" s="40">
        <f>IFERROR(AVERAGE(D30,E30,F30,G30),"")</f>
        <v/>
      </c>
      <c r="I30" s="39" t="n">
        <v>0.68</v>
      </c>
      <c r="J30" s="39" t="n">
        <v>0.65</v>
      </c>
      <c r="K30" s="39" t="n">
        <v>0.68</v>
      </c>
      <c r="L30" s="39" t="n">
        <v>0.65</v>
      </c>
      <c r="M30" s="40">
        <f>IFERROR(AVERAGE(I30,J30,K30,L30),"")</f>
        <v/>
      </c>
      <c r="N30" s="39" t="n">
        <v>0.55</v>
      </c>
      <c r="O30" s="39" t="n">
        <v>0.75</v>
      </c>
      <c r="P30" s="40">
        <f>IFERROR(IF(H30=0,0,H30^(H30^(-0.5)))*SQRT(M30)*((4*N30+O30)/5),"")</f>
        <v/>
      </c>
      <c r="Q30" s="39" t="n">
        <v>0.5</v>
      </c>
      <c r="R30" s="39" t="n">
        <v>0.9</v>
      </c>
      <c r="S30" s="39" t="n">
        <v>0.88</v>
      </c>
      <c r="T30" s="39" t="n">
        <v>0.82</v>
      </c>
      <c r="U30" s="40">
        <f>IFERROR(((Q30^1.4+T30)/2)*R30*(1-EXP(-4.605*S30)),"")</f>
        <v/>
      </c>
      <c r="V30" s="39" t="n">
        <v>0.62</v>
      </c>
      <c r="W30" s="39" t="n">
        <v>0.68</v>
      </c>
      <c r="X30" s="39" t="n">
        <v>0.6</v>
      </c>
      <c r="Y30" s="39" t="n">
        <v>0.68</v>
      </c>
      <c r="Z30" s="39" t="n">
        <v>0.45</v>
      </c>
      <c r="AA30" s="39" t="n">
        <v>0.68</v>
      </c>
      <c r="AB30" s="40">
        <f>IFERROR(Z30*(Y30*AA30^1.1)^1.1*((3*V30+2*W30+X30)/6)^0.5,"")</f>
        <v/>
      </c>
      <c r="AC30" s="40">
        <f>IFERROR(SQRT(AB30),"")</f>
        <v/>
      </c>
      <c r="AD30" s="39" t="n">
        <v>0.65</v>
      </c>
      <c r="AE30" s="39" t="n">
        <v>0.48</v>
      </c>
      <c r="AF30" s="40">
        <f>IFERROR(AE30*(1-AE30*H30),"")</f>
        <v/>
      </c>
      <c r="AG30" s="39" t="n">
        <v>0.62</v>
      </c>
      <c r="AH30" s="39" t="n">
        <v>0.75</v>
      </c>
      <c r="AI30" s="39" t="n">
        <v>0.72</v>
      </c>
      <c r="AJ30" s="40">
        <f>IFERROR(AH30^2.1*AG30^0.2*(2*AF30+3*AI30+AD30)/6,"")</f>
        <v/>
      </c>
      <c r="AK30" s="40">
        <f>IFERROR(SQRT(AJ30),"")</f>
        <v/>
      </c>
      <c r="AL30" s="39" t="n">
        <v>1</v>
      </c>
      <c r="AM30" s="40">
        <f>IFERROR(1-EXP(-AL30),"")</f>
        <v/>
      </c>
      <c r="AN30" s="40">
        <f>IFERROR(4.18*AM30^0.7*(1-AM30)^1.5,"")</f>
        <v/>
      </c>
      <c r="AO30" s="39" t="n">
        <v>0.7</v>
      </c>
      <c r="AP30" s="39" t="n">
        <v>0.5</v>
      </c>
      <c r="AQ30" s="39" t="n">
        <v>0.58</v>
      </c>
      <c r="AR30" s="39" t="n">
        <v>0.8</v>
      </c>
      <c r="AS30" s="40">
        <f>IFERROR(AN30^(1-AO30)*AP30*(4*AQ30*(1-AQ30))*AR30^1.15,"")</f>
        <v/>
      </c>
      <c r="AT30" s="40">
        <f>IFERROR(AS30^(1/3),"")</f>
        <v/>
      </c>
      <c r="AU30" s="39" t="n">
        <v>1.4</v>
      </c>
      <c r="AV30" s="39" t="n">
        <v>2</v>
      </c>
      <c r="AW30" s="40">
        <f>IFERROR(IF(AV30&lt;=1,AU30,AU30*(1+(AV30-1)*0.6)),"")</f>
        <v/>
      </c>
      <c r="AX30" s="39" t="n">
        <v>0.85</v>
      </c>
      <c r="AY30" s="39" t="n">
        <v>0.35</v>
      </c>
      <c r="AZ30" s="41" t="n">
        <v>0.5</v>
      </c>
      <c r="BA30" s="40">
        <f>IFERROR(AZ30/(1-AZ30),"")</f>
        <v/>
      </c>
      <c r="BB30" s="40">
        <f>IFERROR(EXP((P30-0.301)/(0.301*(1-0.301))),"")</f>
        <v/>
      </c>
      <c r="BC30" s="40">
        <f>IFERROR(EXP((U30-0.354)/(0.354*(1-0.354))),"")</f>
        <v/>
      </c>
      <c r="BD30" s="40">
        <f>IFERROR(AW30,"")</f>
        <v/>
      </c>
      <c r="BE30" s="40">
        <f>IFERROR(EXP((AX30-0.75)/(0.75*(1-0.75))),"")</f>
        <v/>
      </c>
      <c r="BF30" s="40">
        <f>IFERROR(EXP((AY30-0.5)/(0.5*(1-0.5))),"")</f>
        <v/>
      </c>
      <c r="BG30" s="40">
        <f>IFERROR(BA30*BB30*BC30*BD30*BE30*BF30,"")</f>
        <v/>
      </c>
      <c r="BH30" s="40">
        <f>IFERROR(BG30/(1+BG30),"")</f>
        <v/>
      </c>
      <c r="BI30" s="40">
        <f>IFERROR(IF(BH30&gt;=1,1E9,BH30/(1-BH30)),"")</f>
        <v/>
      </c>
      <c r="BJ30" s="40">
        <f>IFERROR(EXP((AC30-0.372)/(0.372*(1-0.372))),"")</f>
        <v/>
      </c>
      <c r="BK30" s="40">
        <f>IFERROR(EXP((AK30-0.415)/(0.415*(1-0.415))),"")</f>
        <v/>
      </c>
      <c r="BL30" s="40">
        <f>IFERROR(EXP((AT30-0.405)/(0.405*(1-0.405))),"")</f>
        <v/>
      </c>
      <c r="BM30" s="40">
        <f>IFERROR(BI30*BJ30*BK30*BL30,"")</f>
        <v/>
      </c>
      <c r="BN30" s="40">
        <f>IFERROR(BM30/(1+BM30),"")</f>
        <v/>
      </c>
      <c r="BO30" s="40">
        <f>IFERROR(IF(AC30&gt;=1,0.999,1-EXP(1-(1-AC30)^(-0.8))),"")</f>
        <v/>
      </c>
      <c r="BP30" s="40">
        <f>IFERROR(IF(AK30&gt;=1,0.999,1-EXP(1-(1-AK30)^(-0.75))),"")</f>
        <v/>
      </c>
      <c r="BQ30" s="40">
        <f>IFERROR(1-EXP(-AL30*(1+AL30)),"")</f>
        <v/>
      </c>
      <c r="BR30" s="40">
        <f>IFERROR(BQ30^(1-AO30)*AP30*(4*AQ30*(1-AQ30))*AR30^1.15,"")</f>
        <v/>
      </c>
      <c r="BS30" s="40">
        <f>IFERROR(IF(BR30^(1/3)&gt;=1,0.999,1-EXP(1-(1-BR30^(1/3))^(-0.7))),"")</f>
        <v/>
      </c>
      <c r="BT30" s="40">
        <f>1</f>
        <v/>
      </c>
      <c r="BU30" s="40">
        <f>IFERROR(EXP((BO30-0.372)/(0.372*(1-0.372))),"")</f>
        <v/>
      </c>
      <c r="BV30" s="40">
        <f>IFERROR(EXP((BP30-0.415)/(0.415*(1-0.415))),"")</f>
        <v/>
      </c>
      <c r="BW30" s="40">
        <f>IFERROR(EXP((BS30-0.405)/(0.405*(1-0.405))),"")</f>
        <v/>
      </c>
      <c r="BX30" s="40">
        <f>IFERROR(BT30*BU30*BV30*BW30,"")</f>
        <v/>
      </c>
      <c r="BY30" s="40">
        <f>IFERROR(BX30/(1+BX30),"")</f>
        <v/>
      </c>
      <c r="BZ30" s="40">
        <f>IFERROR(EXP(0.15*(SQRT(BH30)-0.5)/(0.5*0.5)),"")</f>
        <v/>
      </c>
      <c r="CA30" s="40">
        <f>IFERROR(IF(BY30&gt;=1,1E9,BY30/(1-BY30)*BZ30),"")</f>
        <v/>
      </c>
      <c r="CB30" s="40">
        <f>IFERROR(CA30/(1+CA30),"")</f>
        <v/>
      </c>
      <c r="CC30" s="42">
        <f>BH30</f>
        <v/>
      </c>
      <c r="CD30" s="42">
        <f>BN30</f>
        <v/>
      </c>
      <c r="CE30" s="42">
        <f>CB30</f>
        <v/>
      </c>
      <c r="CF30" s="43" t="inlineStr">
        <is>
          <t>A bit known. Specific injustice. N_raw=1.0 - people know underpaid but not this specific.</t>
        </is>
      </c>
    </row>
    <row r="31" ht="40" customHeight="1">
      <c r="A31" s="44" t="n">
        <v>29</v>
      </c>
      <c r="B31" s="45" t="inlineStr">
        <is>
          <t>A Moroccan graduate who chose engineering, medicine, or IT has real job prospects today — the shortage is for graduates in other fields.</t>
        </is>
      </c>
      <c r="C31" s="44" t="inlineStr">
        <is>
          <t>Economics</t>
        </is>
      </c>
      <c r="D31" s="39" t="n">
        <v>0.85</v>
      </c>
      <c r="E31" s="39" t="n">
        <v>0.85</v>
      </c>
      <c r="F31" s="39" t="n">
        <v>0.82</v>
      </c>
      <c r="G31" s="39" t="n">
        <v>0.85</v>
      </c>
      <c r="H31" s="40">
        <f>IFERROR(AVERAGE(D31,E31,F31,G31),"")</f>
        <v/>
      </c>
      <c r="I31" s="39" t="n">
        <v>0.72</v>
      </c>
      <c r="J31" s="39" t="n">
        <v>0.68</v>
      </c>
      <c r="K31" s="39" t="n">
        <v>0.7</v>
      </c>
      <c r="L31" s="39" t="n">
        <v>0.65</v>
      </c>
      <c r="M31" s="40">
        <f>IFERROR(AVERAGE(I31,J31,K31,L31),"")</f>
        <v/>
      </c>
      <c r="N31" s="39" t="n">
        <v>0.58</v>
      </c>
      <c r="O31" s="39" t="n">
        <v>0.78</v>
      </c>
      <c r="P31" s="40">
        <f>IFERROR(IF(H31=0,0,H31^(H31^(-0.5)))*SQRT(M31)*((4*N31+O31)/5),"")</f>
        <v/>
      </c>
      <c r="Q31" s="39" t="n">
        <v>0.38</v>
      </c>
      <c r="R31" s="39" t="n">
        <v>0.88</v>
      </c>
      <c r="S31" s="39" t="n">
        <v>0.85</v>
      </c>
      <c r="T31" s="39" t="n">
        <v>0.8</v>
      </c>
      <c r="U31" s="40">
        <f>IFERROR(((Q31^1.4+T31)/2)*R31*(1-EXP(-4.605*S31)),"")</f>
        <v/>
      </c>
      <c r="V31" s="39" t="n">
        <v>0.65</v>
      </c>
      <c r="W31" s="39" t="n">
        <v>0.7</v>
      </c>
      <c r="X31" s="39" t="n">
        <v>0.6</v>
      </c>
      <c r="Y31" s="39" t="n">
        <v>0.7</v>
      </c>
      <c r="Z31" s="39" t="n">
        <v>0.48</v>
      </c>
      <c r="AA31" s="39" t="n">
        <v>0.7</v>
      </c>
      <c r="AB31" s="40">
        <f>IFERROR(Z31*(Y31*AA31^1.1)^1.1*((3*V31+2*W31+X31)/6)^0.5,"")</f>
        <v/>
      </c>
      <c r="AC31" s="40">
        <f>IFERROR(SQRT(AB31),"")</f>
        <v/>
      </c>
      <c r="AD31" s="39" t="n">
        <v>0.65</v>
      </c>
      <c r="AE31" s="39" t="n">
        <v>0.48</v>
      </c>
      <c r="AF31" s="40">
        <f>IFERROR(AE31*(1-AE31*H31),"")</f>
        <v/>
      </c>
      <c r="AG31" s="39" t="n">
        <v>0.62</v>
      </c>
      <c r="AH31" s="39" t="n">
        <v>0.8</v>
      </c>
      <c r="AI31" s="39" t="n">
        <v>0.72</v>
      </c>
      <c r="AJ31" s="40">
        <f>IFERROR(AH31^2.1*AG31^0.2*(2*AF31+3*AI31+AD31)/6,"")</f>
        <v/>
      </c>
      <c r="AK31" s="40">
        <f>IFERROR(SQRT(AJ31),"")</f>
        <v/>
      </c>
      <c r="AL31" s="39" t="n">
        <v>0.35</v>
      </c>
      <c r="AM31" s="40">
        <f>IFERROR(1-EXP(-AL31),"")</f>
        <v/>
      </c>
      <c r="AN31" s="40">
        <f>IFERROR(4.18*AM31^0.7*(1-AM31)^1.5,"")</f>
        <v/>
      </c>
      <c r="AO31" s="39" t="n">
        <v>0.75</v>
      </c>
      <c r="AP31" s="39" t="n">
        <v>0.52</v>
      </c>
      <c r="AQ31" s="39" t="n">
        <v>0.6</v>
      </c>
      <c r="AR31" s="39" t="n">
        <v>0.82</v>
      </c>
      <c r="AS31" s="40">
        <f>IFERROR(AN31^(1-AO31)*AP31*(4*AQ31*(1-AQ31))*AR31^1.15,"")</f>
        <v/>
      </c>
      <c r="AT31" s="40">
        <f>IFERROR(AS31^(1/3),"")</f>
        <v/>
      </c>
      <c r="AU31" s="39" t="n">
        <v>1.6</v>
      </c>
      <c r="AV31" s="39" t="n">
        <v>2</v>
      </c>
      <c r="AW31" s="40">
        <f>IFERROR(IF(AV31&lt;=1,AU31,AU31*(1+(AV31-1)*0.6)),"")</f>
        <v/>
      </c>
      <c r="AX31" s="39" t="n">
        <v>0.85</v>
      </c>
      <c r="AY31" s="39" t="n">
        <v>0.4</v>
      </c>
      <c r="AZ31" s="41" t="n">
        <v>0.5</v>
      </c>
      <c r="BA31" s="40">
        <f>IFERROR(AZ31/(1-AZ31),"")</f>
        <v/>
      </c>
      <c r="BB31" s="40">
        <f>IFERROR(EXP((P31-0.301)/(0.301*(1-0.301))),"")</f>
        <v/>
      </c>
      <c r="BC31" s="40">
        <f>IFERROR(EXP((U31-0.354)/(0.354*(1-0.354))),"")</f>
        <v/>
      </c>
      <c r="BD31" s="40">
        <f>IFERROR(AW31,"")</f>
        <v/>
      </c>
      <c r="BE31" s="40">
        <f>IFERROR(EXP((AX31-0.75)/(0.75*(1-0.75))),"")</f>
        <v/>
      </c>
      <c r="BF31" s="40">
        <f>IFERROR(EXP((AY31-0.5)/(0.5*(1-0.5))),"")</f>
        <v/>
      </c>
      <c r="BG31" s="40">
        <f>IFERROR(BA31*BB31*BC31*BD31*BE31*BF31,"")</f>
        <v/>
      </c>
      <c r="BH31" s="40">
        <f>IFERROR(BG31/(1+BG31),"")</f>
        <v/>
      </c>
      <c r="BI31" s="40">
        <f>IFERROR(IF(BH31&gt;=1,1E9,BH31/(1-BH31)),"")</f>
        <v/>
      </c>
      <c r="BJ31" s="40">
        <f>IFERROR(EXP((AC31-0.372)/(0.372*(1-0.372))),"")</f>
        <v/>
      </c>
      <c r="BK31" s="40">
        <f>IFERROR(EXP((AK31-0.415)/(0.415*(1-0.415))),"")</f>
        <v/>
      </c>
      <c r="BL31" s="40">
        <f>IFERROR(EXP((AT31-0.405)/(0.405*(1-0.405))),"")</f>
        <v/>
      </c>
      <c r="BM31" s="40">
        <f>IFERROR(BI31*BJ31*BK31*BL31,"")</f>
        <v/>
      </c>
      <c r="BN31" s="40">
        <f>IFERROR(BM31/(1+BM31),"")</f>
        <v/>
      </c>
      <c r="BO31" s="40">
        <f>IFERROR(IF(AC31&gt;=1,0.999,1-EXP(1-(1-AC31)^(-0.8))),"")</f>
        <v/>
      </c>
      <c r="BP31" s="40">
        <f>IFERROR(IF(AK31&gt;=1,0.999,1-EXP(1-(1-AK31)^(-0.75))),"")</f>
        <v/>
      </c>
      <c r="BQ31" s="40">
        <f>IFERROR(1-EXP(-AL31*(1+AL31)),"")</f>
        <v/>
      </c>
      <c r="BR31" s="40">
        <f>IFERROR(BQ31^(1-AO31)*AP31*(4*AQ31*(1-AQ31))*AR31^1.15,"")</f>
        <v/>
      </c>
      <c r="BS31" s="40">
        <f>IFERROR(IF(BR31^(1/3)&gt;=1,0.999,1-EXP(1-(1-BR31^(1/3))^(-0.7))),"")</f>
        <v/>
      </c>
      <c r="BT31" s="40">
        <f>1</f>
        <v/>
      </c>
      <c r="BU31" s="40">
        <f>IFERROR(EXP((BO31-0.372)/(0.372*(1-0.372))),"")</f>
        <v/>
      </c>
      <c r="BV31" s="40">
        <f>IFERROR(EXP((BP31-0.415)/(0.415*(1-0.415))),"")</f>
        <v/>
      </c>
      <c r="BW31" s="40">
        <f>IFERROR(EXP((BS31-0.405)/(0.405*(1-0.405))),"")</f>
        <v/>
      </c>
      <c r="BX31" s="40">
        <f>IFERROR(BT31*BU31*BV31*BW31,"")</f>
        <v/>
      </c>
      <c r="BY31" s="40">
        <f>IFERROR(BX31/(1+BX31),"")</f>
        <v/>
      </c>
      <c r="BZ31" s="40">
        <f>IFERROR(EXP(0.15*(SQRT(BH31)-0.5)/(0.5*0.5)),"")</f>
        <v/>
      </c>
      <c r="CA31" s="40">
        <f>IFERROR(IF(BY31&gt;=1,1E9,BY31/(1-BY31)*BZ31),"")</f>
        <v/>
      </c>
      <c r="CB31" s="40">
        <f>IFERROR(CA31/(1+CA31),"")</f>
        <v/>
      </c>
      <c r="CC31" s="42">
        <f>BH31</f>
        <v/>
      </c>
      <c r="CD31" s="42">
        <f>BN31</f>
        <v/>
      </c>
      <c r="CE31" s="42">
        <f>CB31</f>
        <v/>
      </c>
      <c r="CF31" s="43" t="inlineStr">
        <is>
          <t>True and well known. Choosing well is widely discussed.</t>
        </is>
      </c>
    </row>
    <row r="32" ht="40" customHeight="1">
      <c r="A32" s="44" t="n">
        <v>30</v>
      </c>
      <c r="B32" s="45" t="inlineStr">
        <is>
          <t>The Moroccan private sector is growing but so concentrated in Casablanca that graduates in other cities have significantly fewer options.</t>
        </is>
      </c>
      <c r="C32" s="44" t="inlineStr">
        <is>
          <t>Economics</t>
        </is>
      </c>
      <c r="D32" s="39" t="n">
        <v>0.85</v>
      </c>
      <c r="E32" s="39" t="n">
        <v>0.85</v>
      </c>
      <c r="F32" s="39" t="n">
        <v>0.82</v>
      </c>
      <c r="G32" s="39" t="n">
        <v>0.85</v>
      </c>
      <c r="H32" s="40">
        <f>IFERROR(AVERAGE(D32,E32,F32,G32),"")</f>
        <v/>
      </c>
      <c r="I32" s="39" t="n">
        <v>0.7</v>
      </c>
      <c r="J32" s="39" t="n">
        <v>0.65</v>
      </c>
      <c r="K32" s="39" t="n">
        <v>0.68</v>
      </c>
      <c r="L32" s="39" t="n">
        <v>0.65</v>
      </c>
      <c r="M32" s="40">
        <f>IFERROR(AVERAGE(I32,J32,K32,L32),"")</f>
        <v/>
      </c>
      <c r="N32" s="39" t="n">
        <v>0.55</v>
      </c>
      <c r="O32" s="39" t="n">
        <v>0.72</v>
      </c>
      <c r="P32" s="40">
        <f>IFERROR(IF(H32=0,0,H32^(H32^(-0.5)))*SQRT(M32)*((4*N32+O32)/5),"")</f>
        <v/>
      </c>
      <c r="Q32" s="39" t="n">
        <v>0.42</v>
      </c>
      <c r="R32" s="39" t="n">
        <v>0.88</v>
      </c>
      <c r="S32" s="39" t="n">
        <v>0.85</v>
      </c>
      <c r="T32" s="39" t="n">
        <v>0.8</v>
      </c>
      <c r="U32" s="40">
        <f>IFERROR(((Q32^1.4+T32)/2)*R32*(1-EXP(-4.605*S32)),"")</f>
        <v/>
      </c>
      <c r="V32" s="39" t="n">
        <v>0.62</v>
      </c>
      <c r="W32" s="39" t="n">
        <v>0.68</v>
      </c>
      <c r="X32" s="39" t="n">
        <v>0.6</v>
      </c>
      <c r="Y32" s="39" t="n">
        <v>0.68</v>
      </c>
      <c r="Z32" s="39" t="n">
        <v>0.45</v>
      </c>
      <c r="AA32" s="39" t="n">
        <v>0.68</v>
      </c>
      <c r="AB32" s="40">
        <f>IFERROR(Z32*(Y32*AA32^1.1)^1.1*((3*V32+2*W32+X32)/6)^0.5,"")</f>
        <v/>
      </c>
      <c r="AC32" s="40">
        <f>IFERROR(SQRT(AB32),"")</f>
        <v/>
      </c>
      <c r="AD32" s="39" t="n">
        <v>0.62</v>
      </c>
      <c r="AE32" s="39" t="n">
        <v>0.45</v>
      </c>
      <c r="AF32" s="40">
        <f>IFERROR(AE32*(1-AE32*H32),"")</f>
        <v/>
      </c>
      <c r="AG32" s="39" t="n">
        <v>0.6</v>
      </c>
      <c r="AH32" s="39" t="n">
        <v>0.75</v>
      </c>
      <c r="AI32" s="39" t="n">
        <v>0.7</v>
      </c>
      <c r="AJ32" s="40">
        <f>IFERROR(AH32^2.1*AG32^0.2*(2*AF32+3*AI32+AD32)/6,"")</f>
        <v/>
      </c>
      <c r="AK32" s="40">
        <f>IFERROR(SQRT(AJ32),"")</f>
        <v/>
      </c>
      <c r="AL32" s="39" t="n">
        <v>0.9</v>
      </c>
      <c r="AM32" s="40">
        <f>IFERROR(1-EXP(-AL32),"")</f>
        <v/>
      </c>
      <c r="AN32" s="40">
        <f>IFERROR(4.18*AM32^0.7*(1-AM32)^1.5,"")</f>
        <v/>
      </c>
      <c r="AO32" s="39" t="n">
        <v>0.72</v>
      </c>
      <c r="AP32" s="39" t="n">
        <v>0.5</v>
      </c>
      <c r="AQ32" s="39" t="n">
        <v>0.58</v>
      </c>
      <c r="AR32" s="39" t="n">
        <v>0.78</v>
      </c>
      <c r="AS32" s="40">
        <f>IFERROR(AN32^(1-AO32)*AP32*(4*AQ32*(1-AQ32))*AR32^1.15,"")</f>
        <v/>
      </c>
      <c r="AT32" s="40">
        <f>IFERROR(AS32^(1/3),"")</f>
        <v/>
      </c>
      <c r="AU32" s="39" t="n">
        <v>1.5</v>
      </c>
      <c r="AV32" s="39" t="n">
        <v>2</v>
      </c>
      <c r="AW32" s="40">
        <f>IFERROR(IF(AV32&lt;=1,AU32,AU32*(1+(AV32-1)*0.6)),"")</f>
        <v/>
      </c>
      <c r="AX32" s="39" t="n">
        <v>0.85</v>
      </c>
      <c r="AY32" s="39" t="n">
        <v>0.38</v>
      </c>
      <c r="AZ32" s="41" t="n">
        <v>0.5</v>
      </c>
      <c r="BA32" s="40">
        <f>IFERROR(AZ32/(1-AZ32),"")</f>
        <v/>
      </c>
      <c r="BB32" s="40">
        <f>IFERROR(EXP((P32-0.301)/(0.301*(1-0.301))),"")</f>
        <v/>
      </c>
      <c r="BC32" s="40">
        <f>IFERROR(EXP((U32-0.354)/(0.354*(1-0.354))),"")</f>
        <v/>
      </c>
      <c r="BD32" s="40">
        <f>IFERROR(AW32,"")</f>
        <v/>
      </c>
      <c r="BE32" s="40">
        <f>IFERROR(EXP((AX32-0.75)/(0.75*(1-0.75))),"")</f>
        <v/>
      </c>
      <c r="BF32" s="40">
        <f>IFERROR(EXP((AY32-0.5)/(0.5*(1-0.5))),"")</f>
        <v/>
      </c>
      <c r="BG32" s="40">
        <f>IFERROR(BA32*BB32*BC32*BD32*BE32*BF32,"")</f>
        <v/>
      </c>
      <c r="BH32" s="40">
        <f>IFERROR(BG32/(1+BG32),"")</f>
        <v/>
      </c>
      <c r="BI32" s="40">
        <f>IFERROR(IF(BH32&gt;=1,1E9,BH32/(1-BH32)),"")</f>
        <v/>
      </c>
      <c r="BJ32" s="40">
        <f>IFERROR(EXP((AC32-0.372)/(0.372*(1-0.372))),"")</f>
        <v/>
      </c>
      <c r="BK32" s="40">
        <f>IFERROR(EXP((AK32-0.415)/(0.415*(1-0.415))),"")</f>
        <v/>
      </c>
      <c r="BL32" s="40">
        <f>IFERROR(EXP((AT32-0.405)/(0.405*(1-0.405))),"")</f>
        <v/>
      </c>
      <c r="BM32" s="40">
        <f>IFERROR(BI32*BJ32*BK32*BL32,"")</f>
        <v/>
      </c>
      <c r="BN32" s="40">
        <f>IFERROR(BM32/(1+BM32),"")</f>
        <v/>
      </c>
      <c r="BO32" s="40">
        <f>IFERROR(IF(AC32&gt;=1,0.999,1-EXP(1-(1-AC32)^(-0.8))),"")</f>
        <v/>
      </c>
      <c r="BP32" s="40">
        <f>IFERROR(IF(AK32&gt;=1,0.999,1-EXP(1-(1-AK32)^(-0.75))),"")</f>
        <v/>
      </c>
      <c r="BQ32" s="40">
        <f>IFERROR(1-EXP(-AL32*(1+AL32)),"")</f>
        <v/>
      </c>
      <c r="BR32" s="40">
        <f>IFERROR(BQ32^(1-AO32)*AP32*(4*AQ32*(1-AQ32))*AR32^1.15,"")</f>
        <v/>
      </c>
      <c r="BS32" s="40">
        <f>IFERROR(IF(BR32^(1/3)&gt;=1,0.999,1-EXP(1-(1-BR32^(1/3))^(-0.7))),"")</f>
        <v/>
      </c>
      <c r="BT32" s="40">
        <f>1</f>
        <v/>
      </c>
      <c r="BU32" s="40">
        <f>IFERROR(EXP((BO32-0.372)/(0.372*(1-0.372))),"")</f>
        <v/>
      </c>
      <c r="BV32" s="40">
        <f>IFERROR(EXP((BP32-0.415)/(0.415*(1-0.415))),"")</f>
        <v/>
      </c>
      <c r="BW32" s="40">
        <f>IFERROR(EXP((BS32-0.405)/(0.405*(1-0.405))),"")</f>
        <v/>
      </c>
      <c r="BX32" s="40">
        <f>IFERROR(BT32*BU32*BV32*BW32,"")</f>
        <v/>
      </c>
      <c r="BY32" s="40">
        <f>IFERROR(BX32/(1+BX32),"")</f>
        <v/>
      </c>
      <c r="BZ32" s="40">
        <f>IFERROR(EXP(0.15*(SQRT(BH32)-0.5)/(0.5*0.5)),"")</f>
        <v/>
      </c>
      <c r="CA32" s="40">
        <f>IFERROR(IF(BY32&gt;=1,1E9,BY32/(1-BY32)*BZ32),"")</f>
        <v/>
      </c>
      <c r="CB32" s="40">
        <f>IFERROR(CA32/(1+CA32),"")</f>
        <v/>
      </c>
      <c r="CC32" s="42">
        <f>BH32</f>
        <v/>
      </c>
      <c r="CD32" s="42">
        <f>BN32</f>
        <v/>
      </c>
      <c r="CE32" s="42">
        <f>CB32</f>
        <v/>
      </c>
      <c r="CF32" s="43" t="inlineStr">
        <is>
          <t>A little known. True. Receiver in Fes personally affected.</t>
        </is>
      </c>
    </row>
    <row r="33" ht="40" customHeight="1">
      <c r="A33" s="44" t="n">
        <v>31</v>
      </c>
      <c r="B33" s="45" t="inlineStr">
        <is>
          <t>Personal connections (ma3rifa) still open doors in Morocco, but raw corruption in hiring is declining.</t>
        </is>
      </c>
      <c r="C33" s="44" t="inlineStr">
        <is>
          <t>Economics</t>
        </is>
      </c>
      <c r="D33" s="39" t="n">
        <v>0.82</v>
      </c>
      <c r="E33" s="39" t="n">
        <v>0.82</v>
      </c>
      <c r="F33" s="39" t="n">
        <v>0.78</v>
      </c>
      <c r="G33" s="39" t="n">
        <v>0.82</v>
      </c>
      <c r="H33" s="40">
        <f>IFERROR(AVERAGE(D33,E33,F33,G33),"")</f>
        <v/>
      </c>
      <c r="I33" s="39" t="n">
        <v>0.68</v>
      </c>
      <c r="J33" s="39" t="n">
        <v>0.65</v>
      </c>
      <c r="K33" s="39" t="n">
        <v>0.68</v>
      </c>
      <c r="L33" s="39" t="n">
        <v>0.62</v>
      </c>
      <c r="M33" s="40">
        <f>IFERROR(AVERAGE(I33,J33,K33,L33),"")</f>
        <v/>
      </c>
      <c r="N33" s="39" t="n">
        <v>0.55</v>
      </c>
      <c r="O33" s="39" t="n">
        <v>0.72</v>
      </c>
      <c r="P33" s="40">
        <f>IFERROR(IF(H33=0,0,H33^(H33^(-0.5)))*SQRT(M33)*((4*N33+O33)/5),"")</f>
        <v/>
      </c>
      <c r="Q33" s="39" t="n">
        <v>0.45</v>
      </c>
      <c r="R33" s="39" t="n">
        <v>0.85</v>
      </c>
      <c r="S33" s="39" t="n">
        <v>0.82</v>
      </c>
      <c r="T33" s="39" t="n">
        <v>0.78</v>
      </c>
      <c r="U33" s="40">
        <f>IFERROR(((Q33^1.4+T33)/2)*R33*(1-EXP(-4.605*S33)),"")</f>
        <v/>
      </c>
      <c r="V33" s="39" t="n">
        <v>0.62</v>
      </c>
      <c r="W33" s="39" t="n">
        <v>0.68</v>
      </c>
      <c r="X33" s="39" t="n">
        <v>0.6</v>
      </c>
      <c r="Y33" s="39" t="n">
        <v>0.68</v>
      </c>
      <c r="Z33" s="39" t="n">
        <v>0.45</v>
      </c>
      <c r="AA33" s="39" t="n">
        <v>0.68</v>
      </c>
      <c r="AB33" s="40">
        <f>IFERROR(Z33*(Y33*AA33^1.1)^1.1*((3*V33+2*W33+X33)/6)^0.5,"")</f>
        <v/>
      </c>
      <c r="AC33" s="40">
        <f>IFERROR(SQRT(AB33),"")</f>
        <v/>
      </c>
      <c r="AD33" s="39" t="n">
        <v>0.62</v>
      </c>
      <c r="AE33" s="39" t="n">
        <v>0.45</v>
      </c>
      <c r="AF33" s="40">
        <f>IFERROR(AE33*(1-AE33*H33),"")</f>
        <v/>
      </c>
      <c r="AG33" s="39" t="n">
        <v>0.6</v>
      </c>
      <c r="AH33" s="39" t="n">
        <v>0.78</v>
      </c>
      <c r="AI33" s="39" t="n">
        <v>0.7</v>
      </c>
      <c r="AJ33" s="40">
        <f>IFERROR(AH33^2.1*AG33^0.2*(2*AF33+3*AI33+AD33)/6,"")</f>
        <v/>
      </c>
      <c r="AK33" s="40">
        <f>IFERROR(SQRT(AJ33),"")</f>
        <v/>
      </c>
      <c r="AL33" s="39" t="n">
        <v>0.5</v>
      </c>
      <c r="AM33" s="40">
        <f>IFERROR(1-EXP(-AL33),"")</f>
        <v/>
      </c>
      <c r="AN33" s="40">
        <f>IFERROR(4.18*AM33^0.7*(1-AM33)^1.5,"")</f>
        <v/>
      </c>
      <c r="AO33" s="39" t="n">
        <v>0.72</v>
      </c>
      <c r="AP33" s="39" t="n">
        <v>0.52</v>
      </c>
      <c r="AQ33" s="39" t="n">
        <v>0.58</v>
      </c>
      <c r="AR33" s="39" t="n">
        <v>0.8</v>
      </c>
      <c r="AS33" s="40">
        <f>IFERROR(AN33^(1-AO33)*AP33*(4*AQ33*(1-AQ33))*AR33^1.15,"")</f>
        <v/>
      </c>
      <c r="AT33" s="40">
        <f>IFERROR(AS33^(1/3),"")</f>
        <v/>
      </c>
      <c r="AU33" s="39" t="n">
        <v>1.4</v>
      </c>
      <c r="AV33" s="39" t="n">
        <v>2</v>
      </c>
      <c r="AW33" s="40">
        <f>IFERROR(IF(AV33&lt;=1,AU33,AU33*(1+(AV33-1)*0.6)),"")</f>
        <v/>
      </c>
      <c r="AX33" s="39" t="n">
        <v>0.78</v>
      </c>
      <c r="AY33" s="39" t="n">
        <v>0.32</v>
      </c>
      <c r="AZ33" s="41" t="n">
        <v>0.5</v>
      </c>
      <c r="BA33" s="40">
        <f>IFERROR(AZ33/(1-AZ33),"")</f>
        <v/>
      </c>
      <c r="BB33" s="40">
        <f>IFERROR(EXP((P33-0.301)/(0.301*(1-0.301))),"")</f>
        <v/>
      </c>
      <c r="BC33" s="40">
        <f>IFERROR(EXP((U33-0.354)/(0.354*(1-0.354))),"")</f>
        <v/>
      </c>
      <c r="BD33" s="40">
        <f>IFERROR(AW33,"")</f>
        <v/>
      </c>
      <c r="BE33" s="40">
        <f>IFERROR(EXP((AX33-0.75)/(0.75*(1-0.75))),"")</f>
        <v/>
      </c>
      <c r="BF33" s="40">
        <f>IFERROR(EXP((AY33-0.5)/(0.5*(1-0.5))),"")</f>
        <v/>
      </c>
      <c r="BG33" s="40">
        <f>IFERROR(BA33*BB33*BC33*BD33*BE33*BF33,"")</f>
        <v/>
      </c>
      <c r="BH33" s="40">
        <f>IFERROR(BG33/(1+BG33),"")</f>
        <v/>
      </c>
      <c r="BI33" s="40">
        <f>IFERROR(IF(BH33&gt;=1,1E9,BH33/(1-BH33)),"")</f>
        <v/>
      </c>
      <c r="BJ33" s="40">
        <f>IFERROR(EXP((AC33-0.372)/(0.372*(1-0.372))),"")</f>
        <v/>
      </c>
      <c r="BK33" s="40">
        <f>IFERROR(EXP((AK33-0.415)/(0.415*(1-0.415))),"")</f>
        <v/>
      </c>
      <c r="BL33" s="40">
        <f>IFERROR(EXP((AT33-0.405)/(0.405*(1-0.405))),"")</f>
        <v/>
      </c>
      <c r="BM33" s="40">
        <f>IFERROR(BI33*BJ33*BK33*BL33,"")</f>
        <v/>
      </c>
      <c r="BN33" s="40">
        <f>IFERROR(BM33/(1+BM33),"")</f>
        <v/>
      </c>
      <c r="BO33" s="40">
        <f>IFERROR(IF(AC33&gt;=1,0.999,1-EXP(1-(1-AC33)^(-0.8))),"")</f>
        <v/>
      </c>
      <c r="BP33" s="40">
        <f>IFERROR(IF(AK33&gt;=1,0.999,1-EXP(1-(1-AK33)^(-0.75))),"")</f>
        <v/>
      </c>
      <c r="BQ33" s="40">
        <f>IFERROR(1-EXP(-AL33*(1+AL33)),"")</f>
        <v/>
      </c>
      <c r="BR33" s="40">
        <f>IFERROR(BQ33^(1-AO33)*AP33*(4*AQ33*(1-AQ33))*AR33^1.15,"")</f>
        <v/>
      </c>
      <c r="BS33" s="40">
        <f>IFERROR(IF(BR33^(1/3)&gt;=1,0.999,1-EXP(1-(1-BR33^(1/3))^(-0.7))),"")</f>
        <v/>
      </c>
      <c r="BT33" s="40">
        <f>1</f>
        <v/>
      </c>
      <c r="BU33" s="40">
        <f>IFERROR(EXP((BO33-0.372)/(0.372*(1-0.372))),"")</f>
        <v/>
      </c>
      <c r="BV33" s="40">
        <f>IFERROR(EXP((BP33-0.415)/(0.415*(1-0.415))),"")</f>
        <v/>
      </c>
      <c r="BW33" s="40">
        <f>IFERROR(EXP((BS33-0.405)/(0.405*(1-0.405))),"")</f>
        <v/>
      </c>
      <c r="BX33" s="40">
        <f>IFERROR(BT33*BU33*BV33*BW33,"")</f>
        <v/>
      </c>
      <c r="BY33" s="40">
        <f>IFERROR(BX33/(1+BX33),"")</f>
        <v/>
      </c>
      <c r="BZ33" s="40">
        <f>IFERROR(EXP(0.15*(SQRT(BH33)-0.5)/(0.5*0.5)),"")</f>
        <v/>
      </c>
      <c r="CA33" s="40">
        <f>IFERROR(IF(BY33&gt;=1,1E9,BY33/(1-BY33)*BZ33),"")</f>
        <v/>
      </c>
      <c r="CB33" s="40">
        <f>IFERROR(CA33/(1+CA33),"")</f>
        <v/>
      </c>
      <c r="CC33" s="42">
        <f>BH33</f>
        <v/>
      </c>
      <c r="CD33" s="42">
        <f>BN33</f>
        <v/>
      </c>
      <c r="CE33" s="42">
        <f>CB33</f>
        <v/>
      </c>
      <c r="CF33" s="43" t="inlineStr">
        <is>
          <t>Little contested. Ma3rifa part universally accepted; declining corruption contested.</t>
        </is>
      </c>
    </row>
    <row r="34" ht="40" customHeight="1">
      <c r="A34" s="44" t="n">
        <v>32</v>
      </c>
      <c r="B34" s="45" t="inlineStr">
        <is>
          <t>Young Moroccans are staying in their parents' home longer not by choice but because they cannot afford rent.</t>
        </is>
      </c>
      <c r="C34" s="44" t="inlineStr">
        <is>
          <t>Economics</t>
        </is>
      </c>
      <c r="D34" s="39" t="n">
        <v>0.88</v>
      </c>
      <c r="E34" s="39" t="n">
        <v>0.88</v>
      </c>
      <c r="F34" s="39" t="n">
        <v>0.85</v>
      </c>
      <c r="G34" s="39" t="n">
        <v>0.88</v>
      </c>
      <c r="H34" s="40">
        <f>IFERROR(AVERAGE(D34,E34,F34,G34),"")</f>
        <v/>
      </c>
      <c r="I34" s="39" t="n">
        <v>0.72</v>
      </c>
      <c r="J34" s="39" t="n">
        <v>0.68</v>
      </c>
      <c r="K34" s="39" t="n">
        <v>0.7</v>
      </c>
      <c r="L34" s="39" t="n">
        <v>0.65</v>
      </c>
      <c r="M34" s="40">
        <f>IFERROR(AVERAGE(I34,J34,K34,L34),"")</f>
        <v/>
      </c>
      <c r="N34" s="39" t="n">
        <v>0.58</v>
      </c>
      <c r="O34" s="39" t="n">
        <v>0.8</v>
      </c>
      <c r="P34" s="40">
        <f>IFERROR(IF(H34=0,0,H34^(H34^(-0.5)))*SQRT(M34)*((4*N34+O34)/5),"")</f>
        <v/>
      </c>
      <c r="Q34" s="39" t="n">
        <v>0.35</v>
      </c>
      <c r="R34" s="39" t="n">
        <v>0.9</v>
      </c>
      <c r="S34" s="39" t="n">
        <v>0.88</v>
      </c>
      <c r="T34" s="39" t="n">
        <v>0.82</v>
      </c>
      <c r="U34" s="40">
        <f>IFERROR(((Q34^1.4+T34)/2)*R34*(1-EXP(-4.605*S34)),"")</f>
        <v/>
      </c>
      <c r="V34" s="39" t="n">
        <v>0.65</v>
      </c>
      <c r="W34" s="39" t="n">
        <v>0.7</v>
      </c>
      <c r="X34" s="39" t="n">
        <v>0.6</v>
      </c>
      <c r="Y34" s="39" t="n">
        <v>0.7</v>
      </c>
      <c r="Z34" s="39" t="n">
        <v>0.48</v>
      </c>
      <c r="AA34" s="39" t="n">
        <v>0.72</v>
      </c>
      <c r="AB34" s="40">
        <f>IFERROR(Z34*(Y34*AA34^1.1)^1.1*((3*V34+2*W34+X34)/6)^0.5,"")</f>
        <v/>
      </c>
      <c r="AC34" s="40">
        <f>IFERROR(SQRT(AB34),"")</f>
        <v/>
      </c>
      <c r="AD34" s="39" t="n">
        <v>0.68</v>
      </c>
      <c r="AE34" s="39" t="n">
        <v>0.5</v>
      </c>
      <c r="AF34" s="40">
        <f>IFERROR(AE34*(1-AE34*H34),"")</f>
        <v/>
      </c>
      <c r="AG34" s="39" t="n">
        <v>0.65</v>
      </c>
      <c r="AH34" s="39" t="n">
        <v>0.82</v>
      </c>
      <c r="AI34" s="39" t="n">
        <v>0.75</v>
      </c>
      <c r="AJ34" s="40">
        <f>IFERROR(AH34^2.1*AG34^0.2*(2*AF34+3*AI34+AD34)/6,"")</f>
        <v/>
      </c>
      <c r="AK34" s="40">
        <f>IFERROR(SQRT(AJ34),"")</f>
        <v/>
      </c>
      <c r="AL34" s="39" t="n">
        <v>0.2</v>
      </c>
      <c r="AM34" s="40">
        <f>IFERROR(1-EXP(-AL34),"")</f>
        <v/>
      </c>
      <c r="AN34" s="40">
        <f>IFERROR(4.18*AM34^0.7*(1-AM34)^1.5,"")</f>
        <v/>
      </c>
      <c r="AO34" s="39" t="n">
        <v>0.75</v>
      </c>
      <c r="AP34" s="39" t="n">
        <v>0.52</v>
      </c>
      <c r="AQ34" s="39" t="n">
        <v>0.62</v>
      </c>
      <c r="AR34" s="39" t="n">
        <v>0.88</v>
      </c>
      <c r="AS34" s="40">
        <f>IFERROR(AN34^(1-AO34)*AP34*(4*AQ34*(1-AQ34))*AR34^1.15,"")</f>
        <v/>
      </c>
      <c r="AT34" s="40">
        <f>IFERROR(AS34^(1/3),"")</f>
        <v/>
      </c>
      <c r="AU34" s="39" t="n">
        <v>1.7</v>
      </c>
      <c r="AV34" s="39" t="n">
        <v>2</v>
      </c>
      <c r="AW34" s="40">
        <f>IFERROR(IF(AV34&lt;=1,AU34,AU34*(1+(AV34-1)*0.6)),"")</f>
        <v/>
      </c>
      <c r="AX34" s="39" t="n">
        <v>0.88</v>
      </c>
      <c r="AY34" s="39" t="n">
        <v>0.4</v>
      </c>
      <c r="AZ34" s="41" t="n">
        <v>0.5</v>
      </c>
      <c r="BA34" s="40">
        <f>IFERROR(AZ34/(1-AZ34),"")</f>
        <v/>
      </c>
      <c r="BB34" s="40">
        <f>IFERROR(EXP((P34-0.301)/(0.301*(1-0.301))),"")</f>
        <v/>
      </c>
      <c r="BC34" s="40">
        <f>IFERROR(EXP((U34-0.354)/(0.354*(1-0.354))),"")</f>
        <v/>
      </c>
      <c r="BD34" s="40">
        <f>IFERROR(AW34,"")</f>
        <v/>
      </c>
      <c r="BE34" s="40">
        <f>IFERROR(EXP((AX34-0.75)/(0.75*(1-0.75))),"")</f>
        <v/>
      </c>
      <c r="BF34" s="40">
        <f>IFERROR(EXP((AY34-0.5)/(0.5*(1-0.5))),"")</f>
        <v/>
      </c>
      <c r="BG34" s="40">
        <f>IFERROR(BA34*BB34*BC34*BD34*BE34*BF34,"")</f>
        <v/>
      </c>
      <c r="BH34" s="40">
        <f>IFERROR(BG34/(1+BG34),"")</f>
        <v/>
      </c>
      <c r="BI34" s="40">
        <f>IFERROR(IF(BH34&gt;=1,1E9,BH34/(1-BH34)),"")</f>
        <v/>
      </c>
      <c r="BJ34" s="40">
        <f>IFERROR(EXP((AC34-0.372)/(0.372*(1-0.372))),"")</f>
        <v/>
      </c>
      <c r="BK34" s="40">
        <f>IFERROR(EXP((AK34-0.415)/(0.415*(1-0.415))),"")</f>
        <v/>
      </c>
      <c r="BL34" s="40">
        <f>IFERROR(EXP((AT34-0.405)/(0.405*(1-0.405))),"")</f>
        <v/>
      </c>
      <c r="BM34" s="40">
        <f>IFERROR(BI34*BJ34*BK34*BL34,"")</f>
        <v/>
      </c>
      <c r="BN34" s="40">
        <f>IFERROR(BM34/(1+BM34),"")</f>
        <v/>
      </c>
      <c r="BO34" s="40">
        <f>IFERROR(IF(AC34&gt;=1,0.999,1-EXP(1-(1-AC34)^(-0.8))),"")</f>
        <v/>
      </c>
      <c r="BP34" s="40">
        <f>IFERROR(IF(AK34&gt;=1,0.999,1-EXP(1-(1-AK34)^(-0.75))),"")</f>
        <v/>
      </c>
      <c r="BQ34" s="40">
        <f>IFERROR(1-EXP(-AL34*(1+AL34)),"")</f>
        <v/>
      </c>
      <c r="BR34" s="40">
        <f>IFERROR(BQ34^(1-AO34)*AP34*(4*AQ34*(1-AQ34))*AR34^1.15,"")</f>
        <v/>
      </c>
      <c r="BS34" s="40">
        <f>IFERROR(IF(BR34^(1/3)&gt;=1,0.999,1-EXP(1-(1-BR34^(1/3))^(-0.7))),"")</f>
        <v/>
      </c>
      <c r="BT34" s="40">
        <f>1</f>
        <v/>
      </c>
      <c r="BU34" s="40">
        <f>IFERROR(EXP((BO34-0.372)/(0.372*(1-0.372))),"")</f>
        <v/>
      </c>
      <c r="BV34" s="40">
        <f>IFERROR(EXP((BP34-0.415)/(0.415*(1-0.415))),"")</f>
        <v/>
      </c>
      <c r="BW34" s="40">
        <f>IFERROR(EXP((BS34-0.405)/(0.405*(1-0.405))),"")</f>
        <v/>
      </c>
      <c r="BX34" s="40">
        <f>IFERROR(BT34*BU34*BV34*BW34,"")</f>
        <v/>
      </c>
      <c r="BY34" s="40">
        <f>IFERROR(BX34/(1+BX34),"")</f>
        <v/>
      </c>
      <c r="BZ34" s="40">
        <f>IFERROR(EXP(0.15*(SQRT(BH34)-0.5)/(0.5*0.5)),"")</f>
        <v/>
      </c>
      <c r="CA34" s="40">
        <f>IFERROR(IF(BY34&gt;=1,1E9,BY34/(1-BY34)*BZ34),"")</f>
        <v/>
      </c>
      <c r="CB34" s="40">
        <f>IFERROR(CA34/(1+CA34),"")</f>
        <v/>
      </c>
      <c r="CC34" s="42">
        <f>BH34</f>
        <v/>
      </c>
      <c r="CD34" s="42">
        <f>BN34</f>
        <v/>
      </c>
      <c r="CE34" s="42">
        <f>CB34</f>
        <v/>
      </c>
      <c r="CF34" s="43" t="inlineStr">
        <is>
          <t>Universally observed. Receiver directly in this age group.</t>
        </is>
      </c>
    </row>
    <row r="35" ht="40" customHeight="1">
      <c r="A35" s="44" t="n">
        <v>33</v>
      </c>
      <c r="B35" s="45" t="inlineStr">
        <is>
          <t>Building collapses in old medinas happen partly because owners avoid renovation to prevent eviction by authorities.</t>
        </is>
      </c>
      <c r="C35" s="44" t="inlineStr">
        <is>
          <t>Economics</t>
        </is>
      </c>
      <c r="D35" s="39" t="n">
        <v>0.82</v>
      </c>
      <c r="E35" s="39" t="n">
        <v>0.78</v>
      </c>
      <c r="F35" s="39" t="n">
        <v>0.72</v>
      </c>
      <c r="G35" s="39" t="n">
        <v>0.8</v>
      </c>
      <c r="H35" s="40">
        <f>IFERROR(AVERAGE(D35,E35,F35,G35),"")</f>
        <v/>
      </c>
      <c r="I35" s="39" t="n">
        <v>0.65</v>
      </c>
      <c r="J35" s="39" t="n">
        <v>0.62</v>
      </c>
      <c r="K35" s="39" t="n">
        <v>0.65</v>
      </c>
      <c r="L35" s="39" t="n">
        <v>0.6</v>
      </c>
      <c r="M35" s="40">
        <f>IFERROR(AVERAGE(I35,J35,K35,L35),"")</f>
        <v/>
      </c>
      <c r="N35" s="39" t="n">
        <v>0.52</v>
      </c>
      <c r="O35" s="39" t="n">
        <v>0.7</v>
      </c>
      <c r="P35" s="40">
        <f>IFERROR(IF(H35=0,0,H35^(H35^(-0.5)))*SQRT(M35)*((4*N35+O35)/5),"")</f>
        <v/>
      </c>
      <c r="Q35" s="39" t="n">
        <v>0.5</v>
      </c>
      <c r="R35" s="39" t="n">
        <v>0.82</v>
      </c>
      <c r="S35" s="39" t="n">
        <v>0.8</v>
      </c>
      <c r="T35" s="39" t="n">
        <v>0.75</v>
      </c>
      <c r="U35" s="40">
        <f>IFERROR(((Q35^1.4+T35)/2)*R35*(1-EXP(-4.605*S35)),"")</f>
        <v/>
      </c>
      <c r="V35" s="39" t="n">
        <v>0.6</v>
      </c>
      <c r="W35" s="39" t="n">
        <v>0.65</v>
      </c>
      <c r="X35" s="39" t="n">
        <v>0.6</v>
      </c>
      <c r="Y35" s="39" t="n">
        <v>0.68</v>
      </c>
      <c r="Z35" s="39" t="n">
        <v>0.48</v>
      </c>
      <c r="AA35" s="39" t="n">
        <v>0.68</v>
      </c>
      <c r="AB35" s="40">
        <f>IFERROR(Z35*(Y35*AA35^1.1)^1.1*((3*V35+2*W35+X35)/6)^0.5,"")</f>
        <v/>
      </c>
      <c r="AC35" s="40">
        <f>IFERROR(SQRT(AB35),"")</f>
        <v/>
      </c>
      <c r="AD35" s="39" t="n">
        <v>0.62</v>
      </c>
      <c r="AE35" s="39" t="n">
        <v>0.42</v>
      </c>
      <c r="AF35" s="40">
        <f>IFERROR(AE35*(1-AE35*H35),"")</f>
        <v/>
      </c>
      <c r="AG35" s="39" t="n">
        <v>0.6</v>
      </c>
      <c r="AH35" s="39" t="n">
        <v>0.72</v>
      </c>
      <c r="AI35" s="39" t="n">
        <v>0.68</v>
      </c>
      <c r="AJ35" s="40">
        <f>IFERROR(AH35^2.1*AG35^0.2*(2*AF35+3*AI35+AD35)/6,"")</f>
        <v/>
      </c>
      <c r="AK35" s="40">
        <f>IFERROR(SQRT(AJ35),"")</f>
        <v/>
      </c>
      <c r="AL35" s="39" t="n">
        <v>0.8</v>
      </c>
      <c r="AM35" s="40">
        <f>IFERROR(1-EXP(-AL35),"")</f>
        <v/>
      </c>
      <c r="AN35" s="40">
        <f>IFERROR(4.18*AM35^0.7*(1-AM35)^1.5,"")</f>
        <v/>
      </c>
      <c r="AO35" s="39" t="n">
        <v>0.68</v>
      </c>
      <c r="AP35" s="39" t="n">
        <v>0.5</v>
      </c>
      <c r="AQ35" s="39" t="n">
        <v>0.58</v>
      </c>
      <c r="AR35" s="39" t="n">
        <v>0.72</v>
      </c>
      <c r="AS35" s="40">
        <f>IFERROR(AN35^(1-AO35)*AP35*(4*AQ35*(1-AQ35))*AR35^1.15,"")</f>
        <v/>
      </c>
      <c r="AT35" s="40">
        <f>IFERROR(AS35^(1/3),"")</f>
        <v/>
      </c>
      <c r="AU35" s="39" t="n">
        <v>1.4</v>
      </c>
      <c r="AV35" s="39" t="n">
        <v>2</v>
      </c>
      <c r="AW35" s="40">
        <f>IFERROR(IF(AV35&lt;=1,AU35,AU35*(1+(AV35-1)*0.6)),"")</f>
        <v/>
      </c>
      <c r="AX35" s="39" t="n">
        <v>0.78</v>
      </c>
      <c r="AY35" s="39" t="n">
        <v>0.32</v>
      </c>
      <c r="AZ35" s="41" t="n">
        <v>0.5</v>
      </c>
      <c r="BA35" s="40">
        <f>IFERROR(AZ35/(1-AZ35),"")</f>
        <v/>
      </c>
      <c r="BB35" s="40">
        <f>IFERROR(EXP((P35-0.301)/(0.301*(1-0.301))),"")</f>
        <v/>
      </c>
      <c r="BC35" s="40">
        <f>IFERROR(EXP((U35-0.354)/(0.354*(1-0.354))),"")</f>
        <v/>
      </c>
      <c r="BD35" s="40">
        <f>IFERROR(AW35,"")</f>
        <v/>
      </c>
      <c r="BE35" s="40">
        <f>IFERROR(EXP((AX35-0.75)/(0.75*(1-0.75))),"")</f>
        <v/>
      </c>
      <c r="BF35" s="40">
        <f>IFERROR(EXP((AY35-0.5)/(0.5*(1-0.5))),"")</f>
        <v/>
      </c>
      <c r="BG35" s="40">
        <f>IFERROR(BA35*BB35*BC35*BD35*BE35*BF35,"")</f>
        <v/>
      </c>
      <c r="BH35" s="40">
        <f>IFERROR(BG35/(1+BG35),"")</f>
        <v/>
      </c>
      <c r="BI35" s="40">
        <f>IFERROR(IF(BH35&gt;=1,1E9,BH35/(1-BH35)),"")</f>
        <v/>
      </c>
      <c r="BJ35" s="40">
        <f>IFERROR(EXP((AC35-0.372)/(0.372*(1-0.372))),"")</f>
        <v/>
      </c>
      <c r="BK35" s="40">
        <f>IFERROR(EXP((AK35-0.415)/(0.415*(1-0.415))),"")</f>
        <v/>
      </c>
      <c r="BL35" s="40">
        <f>IFERROR(EXP((AT35-0.405)/(0.405*(1-0.405))),"")</f>
        <v/>
      </c>
      <c r="BM35" s="40">
        <f>IFERROR(BI35*BJ35*BK35*BL35,"")</f>
        <v/>
      </c>
      <c r="BN35" s="40">
        <f>IFERROR(BM35/(1+BM35),"")</f>
        <v/>
      </c>
      <c r="BO35" s="40">
        <f>IFERROR(IF(AC35&gt;=1,0.999,1-EXP(1-(1-AC35)^(-0.8))),"")</f>
        <v/>
      </c>
      <c r="BP35" s="40">
        <f>IFERROR(IF(AK35&gt;=1,0.999,1-EXP(1-(1-AK35)^(-0.75))),"")</f>
        <v/>
      </c>
      <c r="BQ35" s="40">
        <f>IFERROR(1-EXP(-AL35*(1+AL35)),"")</f>
        <v/>
      </c>
      <c r="BR35" s="40">
        <f>IFERROR(BQ35^(1-AO35)*AP35*(4*AQ35*(1-AQ35))*AR35^1.15,"")</f>
        <v/>
      </c>
      <c r="BS35" s="40">
        <f>IFERROR(IF(BR35^(1/3)&gt;=1,0.999,1-EXP(1-(1-BR35^(1/3))^(-0.7))),"")</f>
        <v/>
      </c>
      <c r="BT35" s="40">
        <f>1</f>
        <v/>
      </c>
      <c r="BU35" s="40">
        <f>IFERROR(EXP((BO35-0.372)/(0.372*(1-0.372))),"")</f>
        <v/>
      </c>
      <c r="BV35" s="40">
        <f>IFERROR(EXP((BP35-0.415)/(0.415*(1-0.415))),"")</f>
        <v/>
      </c>
      <c r="BW35" s="40">
        <f>IFERROR(EXP((BS35-0.405)/(0.405*(1-0.405))),"")</f>
        <v/>
      </c>
      <c r="BX35" s="40">
        <f>IFERROR(BT35*BU35*BV35*BW35,"")</f>
        <v/>
      </c>
      <c r="BY35" s="40">
        <f>IFERROR(BX35/(1+BX35),"")</f>
        <v/>
      </c>
      <c r="BZ35" s="40">
        <f>IFERROR(EXP(0.15*(SQRT(BH35)-0.5)/(0.5*0.5)),"")</f>
        <v/>
      </c>
      <c r="CA35" s="40">
        <f>IFERROR(IF(BY35&gt;=1,1E9,BY35/(1-BY35)*BZ35),"")</f>
        <v/>
      </c>
      <c r="CB35" s="40">
        <f>IFERROR(CA35/(1+CA35),"")</f>
        <v/>
      </c>
      <c r="CC35" s="42">
        <f>BH35</f>
        <v/>
      </c>
      <c r="CD35" s="42">
        <f>BN35</f>
        <v/>
      </c>
      <c r="CE35" s="42">
        <f>CB35</f>
        <v/>
      </c>
      <c r="CF35" s="43" t="inlineStr">
        <is>
          <t>True. Specific systemic issue. Fes medina directly relevant.</t>
        </is>
      </c>
    </row>
    <row r="36" ht="40" customHeight="1">
      <c r="A36" s="44" t="n">
        <v>34</v>
      </c>
      <c r="B36" s="45" t="inlineStr">
        <is>
          <t>Morocco's water reserves in dams dropped to historically low levels in recent years.</t>
        </is>
      </c>
      <c r="C36" s="44" t="inlineStr">
        <is>
          <t>Economics</t>
        </is>
      </c>
      <c r="D36" s="39" t="n">
        <v>0.82</v>
      </c>
      <c r="E36" s="39" t="n">
        <v>0.82</v>
      </c>
      <c r="F36" s="39" t="n">
        <v>0.72</v>
      </c>
      <c r="G36" s="39" t="n">
        <v>0.8</v>
      </c>
      <c r="H36" s="40">
        <f>IFERROR(AVERAGE(D36,E36,F36,G36),"")</f>
        <v/>
      </c>
      <c r="I36" s="39" t="n">
        <v>0.72</v>
      </c>
      <c r="J36" s="39" t="n">
        <v>0.68</v>
      </c>
      <c r="K36" s="39" t="n">
        <v>0.68</v>
      </c>
      <c r="L36" s="39" t="n">
        <v>0.65</v>
      </c>
      <c r="M36" s="40">
        <f>IFERROR(AVERAGE(I36,J36,K36,L36),"")</f>
        <v/>
      </c>
      <c r="N36" s="39" t="n">
        <v>0.6</v>
      </c>
      <c r="O36" s="39" t="n">
        <v>0.75</v>
      </c>
      <c r="P36" s="40">
        <f>IFERROR(IF(H36=0,0,H36^(H36^(-0.5)))*SQRT(M36)*((4*N36+O36)/5),"")</f>
        <v/>
      </c>
      <c r="Q36" s="39" t="n">
        <v>0.38</v>
      </c>
      <c r="R36" s="39" t="n">
        <v>0.9</v>
      </c>
      <c r="S36" s="39" t="n">
        <v>0.88</v>
      </c>
      <c r="T36" s="39" t="n">
        <v>0.8</v>
      </c>
      <c r="U36" s="40">
        <f>IFERROR(((Q36^1.4+T36)/2)*R36*(1-EXP(-4.605*S36)),"")</f>
        <v/>
      </c>
      <c r="V36" s="39" t="n">
        <v>0.65</v>
      </c>
      <c r="W36" s="39" t="n">
        <v>0.7</v>
      </c>
      <c r="X36" s="39" t="n">
        <v>0.6</v>
      </c>
      <c r="Y36" s="39" t="n">
        <v>0.72</v>
      </c>
      <c r="Z36" s="39" t="n">
        <v>0.52</v>
      </c>
      <c r="AA36" s="39" t="n">
        <v>0.7</v>
      </c>
      <c r="AB36" s="40">
        <f>IFERROR(Z36*(Y36*AA36^1.1)^1.1*((3*V36+2*W36+X36)/6)^0.5,"")</f>
        <v/>
      </c>
      <c r="AC36" s="40">
        <f>IFERROR(SQRT(AB36),"")</f>
        <v/>
      </c>
      <c r="AD36" s="39" t="n">
        <v>0.72</v>
      </c>
      <c r="AE36" s="39" t="n">
        <v>0.48</v>
      </c>
      <c r="AF36" s="40">
        <f>IFERROR(AE36*(1-AE36*H36),"")</f>
        <v/>
      </c>
      <c r="AG36" s="39" t="n">
        <v>0.65</v>
      </c>
      <c r="AH36" s="39" t="n">
        <v>0.8</v>
      </c>
      <c r="AI36" s="39" t="n">
        <v>0.8</v>
      </c>
      <c r="AJ36" s="40">
        <f>IFERROR(AH36^2.1*AG36^0.2*(2*AF36+3*AI36+AD36)/6,"")</f>
        <v/>
      </c>
      <c r="AK36" s="40">
        <f>IFERROR(SQRT(AJ36),"")</f>
        <v/>
      </c>
      <c r="AL36" s="39" t="n">
        <v>0.3</v>
      </c>
      <c r="AM36" s="40">
        <f>IFERROR(1-EXP(-AL36),"")</f>
        <v/>
      </c>
      <c r="AN36" s="40">
        <f>IFERROR(4.18*AM36^0.7*(1-AM36)^1.5,"")</f>
        <v/>
      </c>
      <c r="AO36" s="39" t="n">
        <v>0.7</v>
      </c>
      <c r="AP36" s="39" t="n">
        <v>0.5</v>
      </c>
      <c r="AQ36" s="39" t="n">
        <v>0.62</v>
      </c>
      <c r="AR36" s="39" t="n">
        <v>0.8</v>
      </c>
      <c r="AS36" s="40">
        <f>IFERROR(AN36^(1-AO36)*AP36*(4*AQ36*(1-AQ36))*AR36^1.15,"")</f>
        <v/>
      </c>
      <c r="AT36" s="40">
        <f>IFERROR(AS36^(1/3),"")</f>
        <v/>
      </c>
      <c r="AU36" s="39" t="n">
        <v>2</v>
      </c>
      <c r="AV36" s="39" t="n">
        <v>3</v>
      </c>
      <c r="AW36" s="40">
        <f>IFERROR(IF(AV36&lt;=1,AU36,AU36*(1+(AV36-1)*0.6)),"")</f>
        <v/>
      </c>
      <c r="AX36" s="39" t="n">
        <v>0.9</v>
      </c>
      <c r="AY36" s="39" t="n">
        <v>0.55</v>
      </c>
      <c r="AZ36" s="41" t="n">
        <v>0.5</v>
      </c>
      <c r="BA36" s="40">
        <f>IFERROR(AZ36/(1-AZ36),"")</f>
        <v/>
      </c>
      <c r="BB36" s="40">
        <f>IFERROR(EXP((P36-0.301)/(0.301*(1-0.301))),"")</f>
        <v/>
      </c>
      <c r="BC36" s="40">
        <f>IFERROR(EXP((U36-0.354)/(0.354*(1-0.354))),"")</f>
        <v/>
      </c>
      <c r="BD36" s="40">
        <f>IFERROR(AW36,"")</f>
        <v/>
      </c>
      <c r="BE36" s="40">
        <f>IFERROR(EXP((AX36-0.75)/(0.75*(1-0.75))),"")</f>
        <v/>
      </c>
      <c r="BF36" s="40">
        <f>IFERROR(EXP((AY36-0.5)/(0.5*(1-0.5))),"")</f>
        <v/>
      </c>
      <c r="BG36" s="40">
        <f>IFERROR(BA36*BB36*BC36*BD36*BE36*BF36,"")</f>
        <v/>
      </c>
      <c r="BH36" s="40">
        <f>IFERROR(BG36/(1+BG36),"")</f>
        <v/>
      </c>
      <c r="BI36" s="40">
        <f>IFERROR(IF(BH36&gt;=1,1E9,BH36/(1-BH36)),"")</f>
        <v/>
      </c>
      <c r="BJ36" s="40">
        <f>IFERROR(EXP((AC36-0.372)/(0.372*(1-0.372))),"")</f>
        <v/>
      </c>
      <c r="BK36" s="40">
        <f>IFERROR(EXP((AK36-0.415)/(0.415*(1-0.415))),"")</f>
        <v/>
      </c>
      <c r="BL36" s="40">
        <f>IFERROR(EXP((AT36-0.405)/(0.405*(1-0.405))),"")</f>
        <v/>
      </c>
      <c r="BM36" s="40">
        <f>IFERROR(BI36*BJ36*BK36*BL36,"")</f>
        <v/>
      </c>
      <c r="BN36" s="40">
        <f>IFERROR(BM36/(1+BM36),"")</f>
        <v/>
      </c>
      <c r="BO36" s="40">
        <f>IFERROR(IF(AC36&gt;=1,0.999,1-EXP(1-(1-AC36)^(-0.8))),"")</f>
        <v/>
      </c>
      <c r="BP36" s="40">
        <f>IFERROR(IF(AK36&gt;=1,0.999,1-EXP(1-(1-AK36)^(-0.75))),"")</f>
        <v/>
      </c>
      <c r="BQ36" s="40">
        <f>IFERROR(1-EXP(-AL36*(1+AL36)),"")</f>
        <v/>
      </c>
      <c r="BR36" s="40">
        <f>IFERROR(BQ36^(1-AO36)*AP36*(4*AQ36*(1-AQ36))*AR36^1.15,"")</f>
        <v/>
      </c>
      <c r="BS36" s="40">
        <f>IFERROR(IF(BR36^(1/3)&gt;=1,0.999,1-EXP(1-(1-BR36^(1/3))^(-0.7))),"")</f>
        <v/>
      </c>
      <c r="BT36" s="40">
        <f>1</f>
        <v/>
      </c>
      <c r="BU36" s="40">
        <f>IFERROR(EXP((BO36-0.372)/(0.372*(1-0.372))),"")</f>
        <v/>
      </c>
      <c r="BV36" s="40">
        <f>IFERROR(EXP((BP36-0.415)/(0.415*(1-0.415))),"")</f>
        <v/>
      </c>
      <c r="BW36" s="40">
        <f>IFERROR(EXP((BS36-0.405)/(0.405*(1-0.405))),"")</f>
        <v/>
      </c>
      <c r="BX36" s="40">
        <f>IFERROR(BT36*BU36*BV36*BW36,"")</f>
        <v/>
      </c>
      <c r="BY36" s="40">
        <f>IFERROR(BX36/(1+BX36),"")</f>
        <v/>
      </c>
      <c r="BZ36" s="40">
        <f>IFERROR(EXP(0.15*(SQRT(BH36)-0.5)/(0.5*0.5)),"")</f>
        <v/>
      </c>
      <c r="CA36" s="40">
        <f>IFERROR(IF(BY36&gt;=1,1E9,BY36/(1-BY36)*BZ36),"")</f>
        <v/>
      </c>
      <c r="CB36" s="40">
        <f>IFERROR(CA36/(1+CA36),"")</f>
        <v/>
      </c>
      <c r="CC36" s="42">
        <f>BH36</f>
        <v/>
      </c>
      <c r="CD36" s="42">
        <f>BN36</f>
        <v/>
      </c>
      <c r="CE36" s="42">
        <f>CB36</f>
        <v/>
      </c>
      <c r="CF36" s="43" t="inlineStr">
        <is>
          <t>Very salient - water cuts in Fes right now. High personal consequence.</t>
        </is>
      </c>
    </row>
    <row r="37" ht="40" customHeight="1">
      <c r="A37" s="44" t="n">
        <v>35</v>
      </c>
      <c r="B37" s="45" t="inlineStr">
        <is>
          <t>Available water per capita in Morocco has dropped sharply since the 1960s, to a fraction of what it used to be.</t>
        </is>
      </c>
      <c r="C37" s="44" t="inlineStr">
        <is>
          <t>Economics</t>
        </is>
      </c>
      <c r="D37" s="39" t="n">
        <v>0.8</v>
      </c>
      <c r="E37" s="39" t="n">
        <v>0.8</v>
      </c>
      <c r="F37" s="39" t="n">
        <v>0.72</v>
      </c>
      <c r="G37" s="39" t="n">
        <v>0.78</v>
      </c>
      <c r="H37" s="40">
        <f>IFERROR(AVERAGE(D37,E37,F37,G37),"")</f>
        <v/>
      </c>
      <c r="I37" s="39" t="n">
        <v>0.7</v>
      </c>
      <c r="J37" s="39" t="n">
        <v>0.65</v>
      </c>
      <c r="K37" s="39" t="n">
        <v>0.65</v>
      </c>
      <c r="L37" s="39" t="n">
        <v>0.62</v>
      </c>
      <c r="M37" s="40">
        <f>IFERROR(AVERAGE(I37,J37,K37,L37),"")</f>
        <v/>
      </c>
      <c r="N37" s="39" t="n">
        <v>0.58</v>
      </c>
      <c r="O37" s="39" t="n">
        <v>0.7</v>
      </c>
      <c r="P37" s="40">
        <f>IFERROR(IF(H37=0,0,H37^(H37^(-0.5)))*SQRT(M37)*((4*N37+O37)/5),"")</f>
        <v/>
      </c>
      <c r="Q37" s="39" t="n">
        <v>0.42</v>
      </c>
      <c r="R37" s="39" t="n">
        <v>0.88</v>
      </c>
      <c r="S37" s="39" t="n">
        <v>0.88</v>
      </c>
      <c r="T37" s="39" t="n">
        <v>0.78</v>
      </c>
      <c r="U37" s="40">
        <f>IFERROR(((Q37^1.4+T37)/2)*R37*(1-EXP(-4.605*S37)),"")</f>
        <v/>
      </c>
      <c r="V37" s="39" t="n">
        <v>0.62</v>
      </c>
      <c r="W37" s="39" t="n">
        <v>0.68</v>
      </c>
      <c r="X37" s="39" t="n">
        <v>0.6</v>
      </c>
      <c r="Y37" s="39" t="n">
        <v>0.68</v>
      </c>
      <c r="Z37" s="39" t="n">
        <v>0.48</v>
      </c>
      <c r="AA37" s="39" t="n">
        <v>0.68</v>
      </c>
      <c r="AB37" s="40">
        <f>IFERROR(Z37*(Y37*AA37^1.1)^1.1*((3*V37+2*W37+X37)/6)^0.5,"")</f>
        <v/>
      </c>
      <c r="AC37" s="40">
        <f>IFERROR(SQRT(AB37),"")</f>
        <v/>
      </c>
      <c r="AD37" s="39" t="n">
        <v>0.68</v>
      </c>
      <c r="AE37" s="39" t="n">
        <v>0.45</v>
      </c>
      <c r="AF37" s="40">
        <f>IFERROR(AE37*(1-AE37*H37),"")</f>
        <v/>
      </c>
      <c r="AG37" s="39" t="n">
        <v>0.62</v>
      </c>
      <c r="AH37" s="39" t="n">
        <v>0.78</v>
      </c>
      <c r="AI37" s="39" t="n">
        <v>0.75</v>
      </c>
      <c r="AJ37" s="40">
        <f>IFERROR(AH37^2.1*AG37^0.2*(2*AF37+3*AI37+AD37)/6,"")</f>
        <v/>
      </c>
      <c r="AK37" s="40">
        <f>IFERROR(SQRT(AJ37),"")</f>
        <v/>
      </c>
      <c r="AL37" s="39" t="n">
        <v>0.4</v>
      </c>
      <c r="AM37" s="40">
        <f>IFERROR(1-EXP(-AL37),"")</f>
        <v/>
      </c>
      <c r="AN37" s="40">
        <f>IFERROR(4.18*AM37^0.7*(1-AM37)^1.5,"")</f>
        <v/>
      </c>
      <c r="AO37" s="39" t="n">
        <v>0.68</v>
      </c>
      <c r="AP37" s="39" t="n">
        <v>0.48</v>
      </c>
      <c r="AQ37" s="39" t="n">
        <v>0.6</v>
      </c>
      <c r="AR37" s="39" t="n">
        <v>0.78</v>
      </c>
      <c r="AS37" s="40">
        <f>IFERROR(AN37^(1-AO37)*AP37*(4*AQ37*(1-AQ37))*AR37^1.15,"")</f>
        <v/>
      </c>
      <c r="AT37" s="40">
        <f>IFERROR(AS37^(1/3),"")</f>
        <v/>
      </c>
      <c r="AU37" s="39" t="n">
        <v>1.8</v>
      </c>
      <c r="AV37" s="39" t="n">
        <v>3</v>
      </c>
      <c r="AW37" s="40">
        <f>IFERROR(IF(AV37&lt;=1,AU37,AU37*(1+(AV37-1)*0.6)),"")</f>
        <v/>
      </c>
      <c r="AX37" s="39" t="n">
        <v>0.88</v>
      </c>
      <c r="AY37" s="39" t="n">
        <v>0.48</v>
      </c>
      <c r="AZ37" s="41" t="n">
        <v>0.5</v>
      </c>
      <c r="BA37" s="40">
        <f>IFERROR(AZ37/(1-AZ37),"")</f>
        <v/>
      </c>
      <c r="BB37" s="40">
        <f>IFERROR(EXP((P37-0.301)/(0.301*(1-0.301))),"")</f>
        <v/>
      </c>
      <c r="BC37" s="40">
        <f>IFERROR(EXP((U37-0.354)/(0.354*(1-0.354))),"")</f>
        <v/>
      </c>
      <c r="BD37" s="40">
        <f>IFERROR(AW37,"")</f>
        <v/>
      </c>
      <c r="BE37" s="40">
        <f>IFERROR(EXP((AX37-0.75)/(0.75*(1-0.75))),"")</f>
        <v/>
      </c>
      <c r="BF37" s="40">
        <f>IFERROR(EXP((AY37-0.5)/(0.5*(1-0.5))),"")</f>
        <v/>
      </c>
      <c r="BG37" s="40">
        <f>IFERROR(BA37*BB37*BC37*BD37*BE37*BF37,"")</f>
        <v/>
      </c>
      <c r="BH37" s="40">
        <f>IFERROR(BG37/(1+BG37),"")</f>
        <v/>
      </c>
      <c r="BI37" s="40">
        <f>IFERROR(IF(BH37&gt;=1,1E9,BH37/(1-BH37)),"")</f>
        <v/>
      </c>
      <c r="BJ37" s="40">
        <f>IFERROR(EXP((AC37-0.372)/(0.372*(1-0.372))),"")</f>
        <v/>
      </c>
      <c r="BK37" s="40">
        <f>IFERROR(EXP((AK37-0.415)/(0.415*(1-0.415))),"")</f>
        <v/>
      </c>
      <c r="BL37" s="40">
        <f>IFERROR(EXP((AT37-0.405)/(0.405*(1-0.405))),"")</f>
        <v/>
      </c>
      <c r="BM37" s="40">
        <f>IFERROR(BI37*BJ37*BK37*BL37,"")</f>
        <v/>
      </c>
      <c r="BN37" s="40">
        <f>IFERROR(BM37/(1+BM37),"")</f>
        <v/>
      </c>
      <c r="BO37" s="40">
        <f>IFERROR(IF(AC37&gt;=1,0.999,1-EXP(1-(1-AC37)^(-0.8))),"")</f>
        <v/>
      </c>
      <c r="BP37" s="40">
        <f>IFERROR(IF(AK37&gt;=1,0.999,1-EXP(1-(1-AK37)^(-0.75))),"")</f>
        <v/>
      </c>
      <c r="BQ37" s="40">
        <f>IFERROR(1-EXP(-AL37*(1+AL37)),"")</f>
        <v/>
      </c>
      <c r="BR37" s="40">
        <f>IFERROR(BQ37^(1-AO37)*AP37*(4*AQ37*(1-AQ37))*AR37^1.15,"")</f>
        <v/>
      </c>
      <c r="BS37" s="40">
        <f>IFERROR(IF(BR37^(1/3)&gt;=1,0.999,1-EXP(1-(1-BR37^(1/3))^(-0.7))),"")</f>
        <v/>
      </c>
      <c r="BT37" s="40">
        <f>1</f>
        <v/>
      </c>
      <c r="BU37" s="40">
        <f>IFERROR(EXP((BO37-0.372)/(0.372*(1-0.372))),"")</f>
        <v/>
      </c>
      <c r="BV37" s="40">
        <f>IFERROR(EXP((BP37-0.415)/(0.415*(1-0.415))),"")</f>
        <v/>
      </c>
      <c r="BW37" s="40">
        <f>IFERROR(EXP((BS37-0.405)/(0.405*(1-0.405))),"")</f>
        <v/>
      </c>
      <c r="BX37" s="40">
        <f>IFERROR(BT37*BU37*BV37*BW37,"")</f>
        <v/>
      </c>
      <c r="BY37" s="40">
        <f>IFERROR(BX37/(1+BX37),"")</f>
        <v/>
      </c>
      <c r="BZ37" s="40">
        <f>IFERROR(EXP(0.15*(SQRT(BH37)-0.5)/(0.5*0.5)),"")</f>
        <v/>
      </c>
      <c r="CA37" s="40">
        <f>IFERROR(IF(BY37&gt;=1,1E9,BY37/(1-BY37)*BZ37),"")</f>
        <v/>
      </c>
      <c r="CB37" s="40">
        <f>IFERROR(CA37/(1+CA37),"")</f>
        <v/>
      </c>
      <c r="CC37" s="42">
        <f>BH37</f>
        <v/>
      </c>
      <c r="CD37" s="42">
        <f>BN37</f>
        <v/>
      </c>
      <c r="CE37" s="42">
        <f>CB37</f>
        <v/>
      </c>
      <c r="CF37" s="43" t="inlineStr">
        <is>
          <t>Known direction. Phrased as felt reality not statistic.</t>
        </is>
      </c>
    </row>
    <row r="38" ht="40" customHeight="1">
      <c r="A38" s="44" t="n">
        <v>36</v>
      </c>
      <c r="B38" s="45" t="inlineStr">
        <is>
          <t>Avocado farming in Morocco is depleting underground water reserves and worsening the drought in affected regions.</t>
        </is>
      </c>
      <c r="C38" s="44" t="inlineStr">
        <is>
          <t>Economics</t>
        </is>
      </c>
      <c r="D38" s="39" t="n">
        <v>0.8</v>
      </c>
      <c r="E38" s="39" t="n">
        <v>0.78</v>
      </c>
      <c r="F38" s="39" t="n">
        <v>0.72</v>
      </c>
      <c r="G38" s="39" t="n">
        <v>0.78</v>
      </c>
      <c r="H38" s="40">
        <f>IFERROR(AVERAGE(D38,E38,F38,G38),"")</f>
        <v/>
      </c>
      <c r="I38" s="39" t="n">
        <v>0.68</v>
      </c>
      <c r="J38" s="39" t="n">
        <v>0.65</v>
      </c>
      <c r="K38" s="39" t="n">
        <v>0.65</v>
      </c>
      <c r="L38" s="39" t="n">
        <v>0.62</v>
      </c>
      <c r="M38" s="40">
        <f>IFERROR(AVERAGE(I38,J38,K38,L38),"")</f>
        <v/>
      </c>
      <c r="N38" s="39" t="n">
        <v>0.55</v>
      </c>
      <c r="O38" s="39" t="n">
        <v>0.68</v>
      </c>
      <c r="P38" s="40">
        <f>IFERROR(IF(H38=0,0,H38^(H38^(-0.5)))*SQRT(M38)*((4*N38+O38)/5),"")</f>
        <v/>
      </c>
      <c r="Q38" s="39" t="n">
        <v>0.45</v>
      </c>
      <c r="R38" s="39" t="n">
        <v>0.88</v>
      </c>
      <c r="S38" s="39" t="n">
        <v>0.85</v>
      </c>
      <c r="T38" s="39" t="n">
        <v>0.78</v>
      </c>
      <c r="U38" s="40">
        <f>IFERROR(((Q38^1.4+T38)/2)*R38*(1-EXP(-4.605*S38)),"")</f>
        <v/>
      </c>
      <c r="V38" s="39" t="n">
        <v>0.6</v>
      </c>
      <c r="W38" s="39" t="n">
        <v>0.65</v>
      </c>
      <c r="X38" s="39" t="n">
        <v>0.6</v>
      </c>
      <c r="Y38" s="39" t="n">
        <v>0.68</v>
      </c>
      <c r="Z38" s="39" t="n">
        <v>0.45</v>
      </c>
      <c r="AA38" s="39" t="n">
        <v>0.68</v>
      </c>
      <c r="AB38" s="40">
        <f>IFERROR(Z38*(Y38*AA38^1.1)^1.1*((3*V38+2*W38+X38)/6)^0.5,"")</f>
        <v/>
      </c>
      <c r="AC38" s="40">
        <f>IFERROR(SQRT(AB38),"")</f>
        <v/>
      </c>
      <c r="AD38" s="39" t="n">
        <v>0.65</v>
      </c>
      <c r="AE38" s="39" t="n">
        <v>0.42</v>
      </c>
      <c r="AF38" s="40">
        <f>IFERROR(AE38*(1-AE38*H38),"")</f>
        <v/>
      </c>
      <c r="AG38" s="39" t="n">
        <v>0.6</v>
      </c>
      <c r="AH38" s="39" t="n">
        <v>0.75</v>
      </c>
      <c r="AI38" s="39" t="n">
        <v>0.75</v>
      </c>
      <c r="AJ38" s="40">
        <f>IFERROR(AH38^2.1*AG38^0.2*(2*AF38+3*AI38+AD38)/6,"")</f>
        <v/>
      </c>
      <c r="AK38" s="40">
        <f>IFERROR(SQRT(AJ38),"")</f>
        <v/>
      </c>
      <c r="AL38" s="39" t="n">
        <v>0.8</v>
      </c>
      <c r="AM38" s="40">
        <f>IFERROR(1-EXP(-AL38),"")</f>
        <v/>
      </c>
      <c r="AN38" s="40">
        <f>IFERROR(4.18*AM38^0.7*(1-AM38)^1.5,"")</f>
        <v/>
      </c>
      <c r="AO38" s="39" t="n">
        <v>0.65</v>
      </c>
      <c r="AP38" s="39" t="n">
        <v>0.48</v>
      </c>
      <c r="AQ38" s="39" t="n">
        <v>0.58</v>
      </c>
      <c r="AR38" s="39" t="n">
        <v>0.72</v>
      </c>
      <c r="AS38" s="40">
        <f>IFERROR(AN38^(1-AO38)*AP38*(4*AQ38*(1-AQ38))*AR38^1.15,"")</f>
        <v/>
      </c>
      <c r="AT38" s="40">
        <f>IFERROR(AS38^(1/3),"")</f>
        <v/>
      </c>
      <c r="AU38" s="39" t="n">
        <v>1.8</v>
      </c>
      <c r="AV38" s="39" t="n">
        <v>2</v>
      </c>
      <c r="AW38" s="40">
        <f>IFERROR(IF(AV38&lt;=1,AU38,AU38*(1+(AV38-1)*0.6)),"")</f>
        <v/>
      </c>
      <c r="AX38" s="39" t="n">
        <v>0.85</v>
      </c>
      <c r="AY38" s="39" t="n">
        <v>0.45</v>
      </c>
      <c r="AZ38" s="41" t="n">
        <v>0.5</v>
      </c>
      <c r="BA38" s="40">
        <f>IFERROR(AZ38/(1-AZ38),"")</f>
        <v/>
      </c>
      <c r="BB38" s="40">
        <f>IFERROR(EXP((P38-0.301)/(0.301*(1-0.301))),"")</f>
        <v/>
      </c>
      <c r="BC38" s="40">
        <f>IFERROR(EXP((U38-0.354)/(0.354*(1-0.354))),"")</f>
        <v/>
      </c>
      <c r="BD38" s="40">
        <f>IFERROR(AW38,"")</f>
        <v/>
      </c>
      <c r="BE38" s="40">
        <f>IFERROR(EXP((AX38-0.75)/(0.75*(1-0.75))),"")</f>
        <v/>
      </c>
      <c r="BF38" s="40">
        <f>IFERROR(EXP((AY38-0.5)/(0.5*(1-0.5))),"")</f>
        <v/>
      </c>
      <c r="BG38" s="40">
        <f>IFERROR(BA38*BB38*BC38*BD38*BE38*BF38,"")</f>
        <v/>
      </c>
      <c r="BH38" s="40">
        <f>IFERROR(BG38/(1+BG38),"")</f>
        <v/>
      </c>
      <c r="BI38" s="40">
        <f>IFERROR(IF(BH38&gt;=1,1E9,BH38/(1-BH38)),"")</f>
        <v/>
      </c>
      <c r="BJ38" s="40">
        <f>IFERROR(EXP((AC38-0.372)/(0.372*(1-0.372))),"")</f>
        <v/>
      </c>
      <c r="BK38" s="40">
        <f>IFERROR(EXP((AK38-0.415)/(0.415*(1-0.415))),"")</f>
        <v/>
      </c>
      <c r="BL38" s="40">
        <f>IFERROR(EXP((AT38-0.405)/(0.405*(1-0.405))),"")</f>
        <v/>
      </c>
      <c r="BM38" s="40">
        <f>IFERROR(BI38*BJ38*BK38*BL38,"")</f>
        <v/>
      </c>
      <c r="BN38" s="40">
        <f>IFERROR(BM38/(1+BM38),"")</f>
        <v/>
      </c>
      <c r="BO38" s="40">
        <f>IFERROR(IF(AC38&gt;=1,0.999,1-EXP(1-(1-AC38)^(-0.8))),"")</f>
        <v/>
      </c>
      <c r="BP38" s="40">
        <f>IFERROR(IF(AK38&gt;=1,0.999,1-EXP(1-(1-AK38)^(-0.75))),"")</f>
        <v/>
      </c>
      <c r="BQ38" s="40">
        <f>IFERROR(1-EXP(-AL38*(1+AL38)),"")</f>
        <v/>
      </c>
      <c r="BR38" s="40">
        <f>IFERROR(BQ38^(1-AO38)*AP38*(4*AQ38*(1-AQ38))*AR38^1.15,"")</f>
        <v/>
      </c>
      <c r="BS38" s="40">
        <f>IFERROR(IF(BR38^(1/3)&gt;=1,0.999,1-EXP(1-(1-BR38^(1/3))^(-0.7))),"")</f>
        <v/>
      </c>
      <c r="BT38" s="40">
        <f>1</f>
        <v/>
      </c>
      <c r="BU38" s="40">
        <f>IFERROR(EXP((BO38-0.372)/(0.372*(1-0.372))),"")</f>
        <v/>
      </c>
      <c r="BV38" s="40">
        <f>IFERROR(EXP((BP38-0.415)/(0.415*(1-0.415))),"")</f>
        <v/>
      </c>
      <c r="BW38" s="40">
        <f>IFERROR(EXP((BS38-0.405)/(0.405*(1-0.405))),"")</f>
        <v/>
      </c>
      <c r="BX38" s="40">
        <f>IFERROR(BT38*BU38*BV38*BW38,"")</f>
        <v/>
      </c>
      <c r="BY38" s="40">
        <f>IFERROR(BX38/(1+BX38),"")</f>
        <v/>
      </c>
      <c r="BZ38" s="40">
        <f>IFERROR(EXP(0.15*(SQRT(BH38)-0.5)/(0.5*0.5)),"")</f>
        <v/>
      </c>
      <c r="CA38" s="40">
        <f>IFERROR(IF(BY38&gt;=1,1E9,BY38/(1-BY38)*BZ38),"")</f>
        <v/>
      </c>
      <c r="CB38" s="40">
        <f>IFERROR(CA38/(1+CA38),"")</f>
        <v/>
      </c>
      <c r="CC38" s="42">
        <f>BH38</f>
        <v/>
      </c>
      <c r="CD38" s="42">
        <f>BN38</f>
        <v/>
      </c>
      <c r="CE38" s="42">
        <f>CB38</f>
        <v/>
      </c>
      <c r="CF38" s="43" t="inlineStr">
        <is>
          <t>True. Moderately known. Concrete specific cause of water crisis.</t>
        </is>
      </c>
    </row>
    <row r="39" ht="40" customHeight="1">
      <c r="A39" s="44" t="n">
        <v>37</v>
      </c>
      <c r="B39" s="45" t="inlineStr">
        <is>
          <t>Morocco has entered several consecutive years of drought that are no longer cyclical but structural.</t>
        </is>
      </c>
      <c r="C39" s="44" t="inlineStr">
        <is>
          <t>Economics</t>
        </is>
      </c>
      <c r="D39" s="39" t="n">
        <v>0.82</v>
      </c>
      <c r="E39" s="39" t="n">
        <v>0.82</v>
      </c>
      <c r="F39" s="39" t="n">
        <v>0.75</v>
      </c>
      <c r="G39" s="39" t="n">
        <v>0.8</v>
      </c>
      <c r="H39" s="40">
        <f>IFERROR(AVERAGE(D39,E39,F39,G39),"")</f>
        <v/>
      </c>
      <c r="I39" s="39" t="n">
        <v>0.72</v>
      </c>
      <c r="J39" s="39" t="n">
        <v>0.68</v>
      </c>
      <c r="K39" s="39" t="n">
        <v>0.68</v>
      </c>
      <c r="L39" s="39" t="n">
        <v>0.65</v>
      </c>
      <c r="M39" s="40">
        <f>IFERROR(AVERAGE(I39,J39,K39,L39),"")</f>
        <v/>
      </c>
      <c r="N39" s="39" t="n">
        <v>0.58</v>
      </c>
      <c r="O39" s="39" t="n">
        <v>0.72</v>
      </c>
      <c r="P39" s="40">
        <f>IFERROR(IF(H39=0,0,H39^(H39^(-0.5)))*SQRT(M39)*((4*N39+O39)/5),"")</f>
        <v/>
      </c>
      <c r="Q39" s="39" t="n">
        <v>0.4</v>
      </c>
      <c r="R39" s="39" t="n">
        <v>0.88</v>
      </c>
      <c r="S39" s="39" t="n">
        <v>0.88</v>
      </c>
      <c r="T39" s="39" t="n">
        <v>0.8</v>
      </c>
      <c r="U39" s="40">
        <f>IFERROR(((Q39^1.4+T39)/2)*R39*(1-EXP(-4.605*S39)),"")</f>
        <v/>
      </c>
      <c r="V39" s="39" t="n">
        <v>0.65</v>
      </c>
      <c r="W39" s="39" t="n">
        <v>0.7</v>
      </c>
      <c r="X39" s="39" t="n">
        <v>0.6</v>
      </c>
      <c r="Y39" s="39" t="n">
        <v>0.72</v>
      </c>
      <c r="Z39" s="39" t="n">
        <v>0.5</v>
      </c>
      <c r="AA39" s="39" t="n">
        <v>0.7</v>
      </c>
      <c r="AB39" s="40">
        <f>IFERROR(Z39*(Y39*AA39^1.1)^1.1*((3*V39+2*W39+X39)/6)^0.5,"")</f>
        <v/>
      </c>
      <c r="AC39" s="40">
        <f>IFERROR(SQRT(AB39),"")</f>
        <v/>
      </c>
      <c r="AD39" s="39" t="n">
        <v>0.72</v>
      </c>
      <c r="AE39" s="39" t="n">
        <v>0.48</v>
      </c>
      <c r="AF39" s="40">
        <f>IFERROR(AE39*(1-AE39*H39),"")</f>
        <v/>
      </c>
      <c r="AG39" s="39" t="n">
        <v>0.65</v>
      </c>
      <c r="AH39" s="39" t="n">
        <v>0.8</v>
      </c>
      <c r="AI39" s="39" t="n">
        <v>0.78</v>
      </c>
      <c r="AJ39" s="40">
        <f>IFERROR(AH39^2.1*AG39^0.2*(2*AF39+3*AI39+AD39)/6,"")</f>
        <v/>
      </c>
      <c r="AK39" s="40">
        <f>IFERROR(SQRT(AJ39),"")</f>
        <v/>
      </c>
      <c r="AL39" s="39" t="n">
        <v>0.4</v>
      </c>
      <c r="AM39" s="40">
        <f>IFERROR(1-EXP(-AL39),"")</f>
        <v/>
      </c>
      <c r="AN39" s="40">
        <f>IFERROR(4.18*AM39^0.7*(1-AM39)^1.5,"")</f>
        <v/>
      </c>
      <c r="AO39" s="39" t="n">
        <v>0.68</v>
      </c>
      <c r="AP39" s="39" t="n">
        <v>0.5</v>
      </c>
      <c r="AQ39" s="39" t="n">
        <v>0.62</v>
      </c>
      <c r="AR39" s="39" t="n">
        <v>0.8</v>
      </c>
      <c r="AS39" s="40">
        <f>IFERROR(AN39^(1-AO39)*AP39*(4*AQ39*(1-AQ39))*AR39^1.15,"")</f>
        <v/>
      </c>
      <c r="AT39" s="40">
        <f>IFERROR(AS39^(1/3),"")</f>
        <v/>
      </c>
      <c r="AU39" s="39" t="n">
        <v>1.8</v>
      </c>
      <c r="AV39" s="39" t="n">
        <v>3</v>
      </c>
      <c r="AW39" s="40">
        <f>IFERROR(IF(AV39&lt;=1,AU39,AU39*(1+(AV39-1)*0.6)),"")</f>
        <v/>
      </c>
      <c r="AX39" s="39" t="n">
        <v>0.88</v>
      </c>
      <c r="AY39" s="39" t="n">
        <v>0.5</v>
      </c>
      <c r="AZ39" s="41" t="n">
        <v>0.5</v>
      </c>
      <c r="BA39" s="40">
        <f>IFERROR(AZ39/(1-AZ39),"")</f>
        <v/>
      </c>
      <c r="BB39" s="40">
        <f>IFERROR(EXP((P39-0.301)/(0.301*(1-0.301))),"")</f>
        <v/>
      </c>
      <c r="BC39" s="40">
        <f>IFERROR(EXP((U39-0.354)/(0.354*(1-0.354))),"")</f>
        <v/>
      </c>
      <c r="BD39" s="40">
        <f>IFERROR(AW39,"")</f>
        <v/>
      </c>
      <c r="BE39" s="40">
        <f>IFERROR(EXP((AX39-0.75)/(0.75*(1-0.75))),"")</f>
        <v/>
      </c>
      <c r="BF39" s="40">
        <f>IFERROR(EXP((AY39-0.5)/(0.5*(1-0.5))),"")</f>
        <v/>
      </c>
      <c r="BG39" s="40">
        <f>IFERROR(BA39*BB39*BC39*BD39*BE39*BF39,"")</f>
        <v/>
      </c>
      <c r="BH39" s="40">
        <f>IFERROR(BG39/(1+BG39),"")</f>
        <v/>
      </c>
      <c r="BI39" s="40">
        <f>IFERROR(IF(BH39&gt;=1,1E9,BH39/(1-BH39)),"")</f>
        <v/>
      </c>
      <c r="BJ39" s="40">
        <f>IFERROR(EXP((AC39-0.372)/(0.372*(1-0.372))),"")</f>
        <v/>
      </c>
      <c r="BK39" s="40">
        <f>IFERROR(EXP((AK39-0.415)/(0.415*(1-0.415))),"")</f>
        <v/>
      </c>
      <c r="BL39" s="40">
        <f>IFERROR(EXP((AT39-0.405)/(0.405*(1-0.405))),"")</f>
        <v/>
      </c>
      <c r="BM39" s="40">
        <f>IFERROR(BI39*BJ39*BK39*BL39,"")</f>
        <v/>
      </c>
      <c r="BN39" s="40">
        <f>IFERROR(BM39/(1+BM39),"")</f>
        <v/>
      </c>
      <c r="BO39" s="40">
        <f>IFERROR(IF(AC39&gt;=1,0.999,1-EXP(1-(1-AC39)^(-0.8))),"")</f>
        <v/>
      </c>
      <c r="BP39" s="40">
        <f>IFERROR(IF(AK39&gt;=1,0.999,1-EXP(1-(1-AK39)^(-0.75))),"")</f>
        <v/>
      </c>
      <c r="BQ39" s="40">
        <f>IFERROR(1-EXP(-AL39*(1+AL39)),"")</f>
        <v/>
      </c>
      <c r="BR39" s="40">
        <f>IFERROR(BQ39^(1-AO39)*AP39*(4*AQ39*(1-AQ39))*AR39^1.15,"")</f>
        <v/>
      </c>
      <c r="BS39" s="40">
        <f>IFERROR(IF(BR39^(1/3)&gt;=1,0.999,1-EXP(1-(1-BR39^(1/3))^(-0.7))),"")</f>
        <v/>
      </c>
      <c r="BT39" s="40">
        <f>1</f>
        <v/>
      </c>
      <c r="BU39" s="40">
        <f>IFERROR(EXP((BO39-0.372)/(0.372*(1-0.372))),"")</f>
        <v/>
      </c>
      <c r="BV39" s="40">
        <f>IFERROR(EXP((BP39-0.415)/(0.415*(1-0.415))),"")</f>
        <v/>
      </c>
      <c r="BW39" s="40">
        <f>IFERROR(EXP((BS39-0.405)/(0.405*(1-0.405))),"")</f>
        <v/>
      </c>
      <c r="BX39" s="40">
        <f>IFERROR(BT39*BU39*BV39*BW39,"")</f>
        <v/>
      </c>
      <c r="BY39" s="40">
        <f>IFERROR(BX39/(1+BX39),"")</f>
        <v/>
      </c>
      <c r="BZ39" s="40">
        <f>IFERROR(EXP(0.15*(SQRT(BH39)-0.5)/(0.5*0.5)),"")</f>
        <v/>
      </c>
      <c r="CA39" s="40">
        <f>IFERROR(IF(BY39&gt;=1,1E9,BY39/(1-BY39)*BZ39),"")</f>
        <v/>
      </c>
      <c r="CB39" s="40">
        <f>IFERROR(CA39/(1+CA39),"")</f>
        <v/>
      </c>
      <c r="CC39" s="42">
        <f>BH39</f>
        <v/>
      </c>
      <c r="CD39" s="42">
        <f>BN39</f>
        <v/>
      </c>
      <c r="CE39" s="42">
        <f>CB39</f>
        <v/>
      </c>
      <c r="CF39" s="43" t="inlineStr">
        <is>
          <t>True. Widely felt. Structural vs cyclical distinction increasingly accepted.</t>
        </is>
      </c>
    </row>
    <row r="40" ht="40" customHeight="1">
      <c r="A40" s="44" t="n">
        <v>38</v>
      </c>
      <c r="B40" s="45" t="inlineStr">
        <is>
          <t>Morocco's economy kept growing in recent years despite global pressures, even if not by much.</t>
        </is>
      </c>
      <c r="C40" s="44" t="inlineStr">
        <is>
          <t>Economics</t>
        </is>
      </c>
      <c r="D40" s="39" t="n">
        <v>0.72</v>
      </c>
      <c r="E40" s="39" t="n">
        <v>0.72</v>
      </c>
      <c r="F40" s="39" t="n">
        <v>0.62</v>
      </c>
      <c r="G40" s="39" t="n">
        <v>0.7</v>
      </c>
      <c r="H40" s="40">
        <f>IFERROR(AVERAGE(D40,E40,F40,G40),"")</f>
        <v/>
      </c>
      <c r="I40" s="39" t="n">
        <v>0.7</v>
      </c>
      <c r="J40" s="39" t="n">
        <v>0.65</v>
      </c>
      <c r="K40" s="39" t="n">
        <v>0.65</v>
      </c>
      <c r="L40" s="39" t="n">
        <v>0.62</v>
      </c>
      <c r="M40" s="40">
        <f>IFERROR(AVERAGE(I40,J40,K40,L40),"")</f>
        <v/>
      </c>
      <c r="N40" s="39" t="n">
        <v>0.58</v>
      </c>
      <c r="O40" s="39" t="n">
        <v>0.65</v>
      </c>
      <c r="P40" s="40">
        <f>IFERROR(IF(H40=0,0,H40^(H40^(-0.5)))*SQRT(M40)*((4*N40+O40)/5),"")</f>
        <v/>
      </c>
      <c r="Q40" s="39" t="n">
        <v>0.42</v>
      </c>
      <c r="R40" s="39" t="n">
        <v>0.85</v>
      </c>
      <c r="S40" s="39" t="n">
        <v>0.85</v>
      </c>
      <c r="T40" s="39" t="n">
        <v>0.75</v>
      </c>
      <c r="U40" s="40">
        <f>IFERROR(((Q40^1.4+T40)/2)*R40*(1-EXP(-4.605*S40)),"")</f>
        <v/>
      </c>
      <c r="V40" s="39" t="n">
        <v>0.6</v>
      </c>
      <c r="W40" s="39" t="n">
        <v>0.65</v>
      </c>
      <c r="X40" s="39" t="n">
        <v>0.6</v>
      </c>
      <c r="Y40" s="39" t="n">
        <v>0.65</v>
      </c>
      <c r="Z40" s="39" t="n">
        <v>0.5</v>
      </c>
      <c r="AA40" s="39" t="n">
        <v>0.65</v>
      </c>
      <c r="AB40" s="40">
        <f>IFERROR(Z40*(Y40*AA40^1.1)^1.1*((3*V40+2*W40+X40)/6)^0.5,"")</f>
        <v/>
      </c>
      <c r="AC40" s="40">
        <f>IFERROR(SQRT(AB40),"")</f>
        <v/>
      </c>
      <c r="AD40" s="39" t="n">
        <v>0.6</v>
      </c>
      <c r="AE40" s="39" t="n">
        <v>0.42</v>
      </c>
      <c r="AF40" s="40">
        <f>IFERROR(AE40*(1-AE40*H40),"")</f>
        <v/>
      </c>
      <c r="AG40" s="39" t="n">
        <v>0.58</v>
      </c>
      <c r="AH40" s="39" t="n">
        <v>0.72</v>
      </c>
      <c r="AI40" s="39" t="n">
        <v>0.65</v>
      </c>
      <c r="AJ40" s="40">
        <f>IFERROR(AH40^2.1*AG40^0.2*(2*AF40+3*AI40+AD40)/6,"")</f>
        <v/>
      </c>
      <c r="AK40" s="40">
        <f>IFERROR(SQRT(AJ40),"")</f>
        <v/>
      </c>
      <c r="AL40" s="39" t="n">
        <v>0.5</v>
      </c>
      <c r="AM40" s="40">
        <f>IFERROR(1-EXP(-AL40),"")</f>
        <v/>
      </c>
      <c r="AN40" s="40">
        <f>IFERROR(4.18*AM40^0.7*(1-AM40)^1.5,"")</f>
        <v/>
      </c>
      <c r="AO40" s="39" t="n">
        <v>0.7</v>
      </c>
      <c r="AP40" s="39" t="n">
        <v>0.48</v>
      </c>
      <c r="AQ40" s="39" t="n">
        <v>0.55</v>
      </c>
      <c r="AR40" s="39" t="n">
        <v>0.6</v>
      </c>
      <c r="AS40" s="40">
        <f>IFERROR(AN40^(1-AO40)*AP40*(4*AQ40*(1-AQ40))*AR40^1.15,"")</f>
        <v/>
      </c>
      <c r="AT40" s="40">
        <f>IFERROR(AS40^(1/3),"")</f>
        <v/>
      </c>
      <c r="AU40" s="39" t="n">
        <v>1.6</v>
      </c>
      <c r="AV40" s="39" t="n">
        <v>2</v>
      </c>
      <c r="AW40" s="40">
        <f>IFERROR(IF(AV40&lt;=1,AU40,AU40*(1+(AV40-1)*0.6)),"")</f>
        <v/>
      </c>
      <c r="AX40" s="39" t="n">
        <v>0.85</v>
      </c>
      <c r="AY40" s="39" t="n">
        <v>0.42</v>
      </c>
      <c r="AZ40" s="41" t="n">
        <v>0.5</v>
      </c>
      <c r="BA40" s="40">
        <f>IFERROR(AZ40/(1-AZ40),"")</f>
        <v/>
      </c>
      <c r="BB40" s="40">
        <f>IFERROR(EXP((P40-0.301)/(0.301*(1-0.301))),"")</f>
        <v/>
      </c>
      <c r="BC40" s="40">
        <f>IFERROR(EXP((U40-0.354)/(0.354*(1-0.354))),"")</f>
        <v/>
      </c>
      <c r="BD40" s="40">
        <f>IFERROR(AW40,"")</f>
        <v/>
      </c>
      <c r="BE40" s="40">
        <f>IFERROR(EXP((AX40-0.75)/(0.75*(1-0.75))),"")</f>
        <v/>
      </c>
      <c r="BF40" s="40">
        <f>IFERROR(EXP((AY40-0.5)/(0.5*(1-0.5))),"")</f>
        <v/>
      </c>
      <c r="BG40" s="40">
        <f>IFERROR(BA40*BB40*BC40*BD40*BE40*BF40,"")</f>
        <v/>
      </c>
      <c r="BH40" s="40">
        <f>IFERROR(BG40/(1+BG40),"")</f>
        <v/>
      </c>
      <c r="BI40" s="40">
        <f>IFERROR(IF(BH40&gt;=1,1E9,BH40/(1-BH40)),"")</f>
        <v/>
      </c>
      <c r="BJ40" s="40">
        <f>IFERROR(EXP((AC40-0.372)/(0.372*(1-0.372))),"")</f>
        <v/>
      </c>
      <c r="BK40" s="40">
        <f>IFERROR(EXP((AK40-0.415)/(0.415*(1-0.415))),"")</f>
        <v/>
      </c>
      <c r="BL40" s="40">
        <f>IFERROR(EXP((AT40-0.405)/(0.405*(1-0.405))),"")</f>
        <v/>
      </c>
      <c r="BM40" s="40">
        <f>IFERROR(BI40*BJ40*BK40*BL40,"")</f>
        <v/>
      </c>
      <c r="BN40" s="40">
        <f>IFERROR(BM40/(1+BM40),"")</f>
        <v/>
      </c>
      <c r="BO40" s="40">
        <f>IFERROR(IF(AC40&gt;=1,0.999,1-EXP(1-(1-AC40)^(-0.8))),"")</f>
        <v/>
      </c>
      <c r="BP40" s="40">
        <f>IFERROR(IF(AK40&gt;=1,0.999,1-EXP(1-(1-AK40)^(-0.75))),"")</f>
        <v/>
      </c>
      <c r="BQ40" s="40">
        <f>IFERROR(1-EXP(-AL40*(1+AL40)),"")</f>
        <v/>
      </c>
      <c r="BR40" s="40">
        <f>IFERROR(BQ40^(1-AO40)*AP40*(4*AQ40*(1-AQ40))*AR40^1.15,"")</f>
        <v/>
      </c>
      <c r="BS40" s="40">
        <f>IFERROR(IF(BR40^(1/3)&gt;=1,0.999,1-EXP(1-(1-BR40^(1/3))^(-0.7))),"")</f>
        <v/>
      </c>
      <c r="BT40" s="40">
        <f>1</f>
        <v/>
      </c>
      <c r="BU40" s="40">
        <f>IFERROR(EXP((BO40-0.372)/(0.372*(1-0.372))),"")</f>
        <v/>
      </c>
      <c r="BV40" s="40">
        <f>IFERROR(EXP((BP40-0.415)/(0.415*(1-0.415))),"")</f>
        <v/>
      </c>
      <c r="BW40" s="40">
        <f>IFERROR(EXP((BS40-0.405)/(0.405*(1-0.405))),"")</f>
        <v/>
      </c>
      <c r="BX40" s="40">
        <f>IFERROR(BT40*BU40*BV40*BW40,"")</f>
        <v/>
      </c>
      <c r="BY40" s="40">
        <f>IFERROR(BX40/(1+BX40),"")</f>
        <v/>
      </c>
      <c r="BZ40" s="40">
        <f>IFERROR(EXP(0.15*(SQRT(BH40)-0.5)/(0.5*0.5)),"")</f>
        <v/>
      </c>
      <c r="CA40" s="40">
        <f>IFERROR(IF(BY40&gt;=1,1E9,BY40/(1-BY40)*BZ40),"")</f>
        <v/>
      </c>
      <c r="CB40" s="40">
        <f>IFERROR(CA40/(1+CA40),"")</f>
        <v/>
      </c>
      <c r="CC40" s="42">
        <f>BH40</f>
        <v/>
      </c>
      <c r="CD40" s="42">
        <f>BN40</f>
        <v/>
      </c>
      <c r="CE40" s="42">
        <f>CB40</f>
        <v/>
      </c>
      <c r="CF40" s="43" t="inlineStr">
        <is>
          <t>True. Not emotionally charged. Institutional source mixed with lived reality.</t>
        </is>
      </c>
    </row>
    <row r="41" ht="40" customHeight="1">
      <c r="A41" s="44" t="n">
        <v>39</v>
      </c>
      <c r="B41" s="45" t="inlineStr">
        <is>
          <t>Irregular migration (harraga) attempts from Morocco have increased in recent years despite the high risk of death at sea.</t>
        </is>
      </c>
      <c r="C41" s="44" t="inlineStr">
        <is>
          <t>Economics</t>
        </is>
      </c>
      <c r="D41" s="39" t="n">
        <v>0.8</v>
      </c>
      <c r="E41" s="39" t="n">
        <v>0.8</v>
      </c>
      <c r="F41" s="39" t="n">
        <v>0.72</v>
      </c>
      <c r="G41" s="39" t="n">
        <v>0.78</v>
      </c>
      <c r="H41" s="40">
        <f>IFERROR(AVERAGE(D41,E41,F41,G41),"")</f>
        <v/>
      </c>
      <c r="I41" s="39" t="n">
        <v>0.68</v>
      </c>
      <c r="J41" s="39" t="n">
        <v>0.65</v>
      </c>
      <c r="K41" s="39" t="n">
        <v>0.65</v>
      </c>
      <c r="L41" s="39" t="n">
        <v>0.62</v>
      </c>
      <c r="M41" s="40">
        <f>IFERROR(AVERAGE(I41,J41,K41,L41),"")</f>
        <v/>
      </c>
      <c r="N41" s="39" t="n">
        <v>0.55</v>
      </c>
      <c r="O41" s="39" t="n">
        <v>0.68</v>
      </c>
      <c r="P41" s="40">
        <f>IFERROR(IF(H41=0,0,H41^(H41^(-0.5)))*SQRT(M41)*((4*N41+O41)/5),"")</f>
        <v/>
      </c>
      <c r="Q41" s="39" t="n">
        <v>0.5</v>
      </c>
      <c r="R41" s="39" t="n">
        <v>0.82</v>
      </c>
      <c r="S41" s="39" t="n">
        <v>0.8</v>
      </c>
      <c r="T41" s="39" t="n">
        <v>0.75</v>
      </c>
      <c r="U41" s="40">
        <f>IFERROR(((Q41^1.4+T41)/2)*R41*(1-EXP(-4.605*S41)),"")</f>
        <v/>
      </c>
      <c r="V41" s="39" t="n">
        <v>0.6</v>
      </c>
      <c r="W41" s="39" t="n">
        <v>0.65</v>
      </c>
      <c r="X41" s="39" t="n">
        <v>0.6</v>
      </c>
      <c r="Y41" s="39" t="n">
        <v>0.65</v>
      </c>
      <c r="Z41" s="39" t="n">
        <v>0.45</v>
      </c>
      <c r="AA41" s="39" t="n">
        <v>0.68</v>
      </c>
      <c r="AB41" s="40">
        <f>IFERROR(Z41*(Y41*AA41^1.1)^1.1*((3*V41+2*W41+X41)/6)^0.5,"")</f>
        <v/>
      </c>
      <c r="AC41" s="40">
        <f>IFERROR(SQRT(AB41),"")</f>
        <v/>
      </c>
      <c r="AD41" s="39" t="n">
        <v>0.6</v>
      </c>
      <c r="AE41" s="39" t="n">
        <v>0.45</v>
      </c>
      <c r="AF41" s="40">
        <f>IFERROR(AE41*(1-AE41*H41),"")</f>
        <v/>
      </c>
      <c r="AG41" s="39" t="n">
        <v>0.58</v>
      </c>
      <c r="AH41" s="39" t="n">
        <v>0.68</v>
      </c>
      <c r="AI41" s="39" t="n">
        <v>0.68</v>
      </c>
      <c r="AJ41" s="40">
        <f>IFERROR(AH41^2.1*AG41^0.2*(2*AF41+3*AI41+AD41)/6,"")</f>
        <v/>
      </c>
      <c r="AK41" s="40">
        <f>IFERROR(SQRT(AJ41),"")</f>
        <v/>
      </c>
      <c r="AL41" s="39" t="n">
        <v>0.6</v>
      </c>
      <c r="AM41" s="40">
        <f>IFERROR(1-EXP(-AL41),"")</f>
        <v/>
      </c>
      <c r="AN41" s="40">
        <f>IFERROR(4.18*AM41^0.7*(1-AM41)^1.5,"")</f>
        <v/>
      </c>
      <c r="AO41" s="39" t="n">
        <v>0.68</v>
      </c>
      <c r="AP41" s="39" t="n">
        <v>0.48</v>
      </c>
      <c r="AQ41" s="39" t="n">
        <v>0.55</v>
      </c>
      <c r="AR41" s="39" t="n">
        <v>0.65</v>
      </c>
      <c r="AS41" s="40">
        <f>IFERROR(AN41^(1-AO41)*AP41*(4*AQ41*(1-AQ41))*AR41^1.15,"")</f>
        <v/>
      </c>
      <c r="AT41" s="40">
        <f>IFERROR(AS41^(1/3),"")</f>
        <v/>
      </c>
      <c r="AU41" s="39" t="n">
        <v>1.4</v>
      </c>
      <c r="AV41" s="39" t="n">
        <v>2</v>
      </c>
      <c r="AW41" s="40">
        <f>IFERROR(IF(AV41&lt;=1,AU41,AU41*(1+(AV41-1)*0.6)),"")</f>
        <v/>
      </c>
      <c r="AX41" s="39" t="n">
        <v>0.72</v>
      </c>
      <c r="AY41" s="39" t="n">
        <v>0.32</v>
      </c>
      <c r="AZ41" s="41" t="n">
        <v>0.5</v>
      </c>
      <c r="BA41" s="40">
        <f>IFERROR(AZ41/(1-AZ41),"")</f>
        <v/>
      </c>
      <c r="BB41" s="40">
        <f>IFERROR(EXP((P41-0.301)/(0.301*(1-0.301))),"")</f>
        <v/>
      </c>
      <c r="BC41" s="40">
        <f>IFERROR(EXP((U41-0.354)/(0.354*(1-0.354))),"")</f>
        <v/>
      </c>
      <c r="BD41" s="40">
        <f>IFERROR(AW41,"")</f>
        <v/>
      </c>
      <c r="BE41" s="40">
        <f>IFERROR(EXP((AX41-0.75)/(0.75*(1-0.75))),"")</f>
        <v/>
      </c>
      <c r="BF41" s="40">
        <f>IFERROR(EXP((AY41-0.5)/(0.5*(1-0.5))),"")</f>
        <v/>
      </c>
      <c r="BG41" s="40">
        <f>IFERROR(BA41*BB41*BC41*BD41*BE41*BF41,"")</f>
        <v/>
      </c>
      <c r="BH41" s="40">
        <f>IFERROR(BG41/(1+BG41),"")</f>
        <v/>
      </c>
      <c r="BI41" s="40">
        <f>IFERROR(IF(BH41&gt;=1,1E9,BH41/(1-BH41)),"")</f>
        <v/>
      </c>
      <c r="BJ41" s="40">
        <f>IFERROR(EXP((AC41-0.372)/(0.372*(1-0.372))),"")</f>
        <v/>
      </c>
      <c r="BK41" s="40">
        <f>IFERROR(EXP((AK41-0.415)/(0.415*(1-0.415))),"")</f>
        <v/>
      </c>
      <c r="BL41" s="40">
        <f>IFERROR(EXP((AT41-0.405)/(0.405*(1-0.405))),"")</f>
        <v/>
      </c>
      <c r="BM41" s="40">
        <f>IFERROR(BI41*BJ41*BK41*BL41,"")</f>
        <v/>
      </c>
      <c r="BN41" s="40">
        <f>IFERROR(BM41/(1+BM41),"")</f>
        <v/>
      </c>
      <c r="BO41" s="40">
        <f>IFERROR(IF(AC41&gt;=1,0.999,1-EXP(1-(1-AC41)^(-0.8))),"")</f>
        <v/>
      </c>
      <c r="BP41" s="40">
        <f>IFERROR(IF(AK41&gt;=1,0.999,1-EXP(1-(1-AK41)^(-0.75))),"")</f>
        <v/>
      </c>
      <c r="BQ41" s="40">
        <f>IFERROR(1-EXP(-AL41*(1+AL41)),"")</f>
        <v/>
      </c>
      <c r="BR41" s="40">
        <f>IFERROR(BQ41^(1-AO41)*AP41*(4*AQ41*(1-AQ41))*AR41^1.15,"")</f>
        <v/>
      </c>
      <c r="BS41" s="40">
        <f>IFERROR(IF(BR41^(1/3)&gt;=1,0.999,1-EXP(1-(1-BR41^(1/3))^(-0.7))),"")</f>
        <v/>
      </c>
      <c r="BT41" s="40">
        <f>1</f>
        <v/>
      </c>
      <c r="BU41" s="40">
        <f>IFERROR(EXP((BO41-0.372)/(0.372*(1-0.372))),"")</f>
        <v/>
      </c>
      <c r="BV41" s="40">
        <f>IFERROR(EXP((BP41-0.415)/(0.415*(1-0.415))),"")</f>
        <v/>
      </c>
      <c r="BW41" s="40">
        <f>IFERROR(EXP((BS41-0.405)/(0.405*(1-0.405))),"")</f>
        <v/>
      </c>
      <c r="BX41" s="40">
        <f>IFERROR(BT41*BU41*BV41*BW41,"")</f>
        <v/>
      </c>
      <c r="BY41" s="40">
        <f>IFERROR(BX41/(1+BX41),"")</f>
        <v/>
      </c>
      <c r="BZ41" s="40">
        <f>IFERROR(EXP(0.15*(SQRT(BH41)-0.5)/(0.5*0.5)),"")</f>
        <v/>
      </c>
      <c r="CA41" s="40">
        <f>IFERROR(IF(BY41&gt;=1,1E9,BY41/(1-BY41)*BZ41),"")</f>
        <v/>
      </c>
      <c r="CB41" s="40">
        <f>IFERROR(CA41/(1+CA41),"")</f>
        <v/>
      </c>
      <c r="CC41" s="42">
        <f>BH41</f>
        <v/>
      </c>
      <c r="CD41" s="42">
        <f>BN41</f>
        <v/>
      </c>
      <c r="CE41" s="42">
        <f>CB41</f>
        <v/>
      </c>
      <c r="CF41" s="43" t="inlineStr">
        <is>
          <t>Receiver says harraga down. Not emotionally charged. Statement says increased - scores as contested.</t>
        </is>
      </c>
    </row>
    <row r="42" ht="40" customHeight="1">
      <c r="A42" s="46" t="n">
        <v>40</v>
      </c>
      <c r="B42" s="47" t="inlineStr">
        <is>
          <t>The bac in Morocco is a legitimate national exam taken under the same conditions by all students regardless of school type.</t>
        </is>
      </c>
      <c r="C42" s="46" t="inlineStr">
        <is>
          <t>Education</t>
        </is>
      </c>
      <c r="D42" s="39" t="n">
        <v>0.88</v>
      </c>
      <c r="E42" s="39" t="n">
        <v>0.88</v>
      </c>
      <c r="F42" s="39" t="n">
        <v>0.85</v>
      </c>
      <c r="G42" s="39" t="n">
        <v>0.88</v>
      </c>
      <c r="H42" s="40">
        <f>IFERROR(AVERAGE(D42,E42,F42,G42),"")</f>
        <v/>
      </c>
      <c r="I42" s="39" t="n">
        <v>0.78</v>
      </c>
      <c r="J42" s="39" t="n">
        <v>0.75</v>
      </c>
      <c r="K42" s="39" t="n">
        <v>0.75</v>
      </c>
      <c r="L42" s="39" t="n">
        <v>0.72</v>
      </c>
      <c r="M42" s="40">
        <f>IFERROR(AVERAGE(I42,J42,K42,L42),"")</f>
        <v/>
      </c>
      <c r="N42" s="39" t="n">
        <v>0.65</v>
      </c>
      <c r="O42" s="39" t="n">
        <v>0.82</v>
      </c>
      <c r="P42" s="40">
        <f>IFERROR(IF(H42=0,0,H42^(H42^(-0.5)))*SQRT(M42)*((4*N42+O42)/5),"")</f>
        <v/>
      </c>
      <c r="Q42" s="39" t="n">
        <v>0.3</v>
      </c>
      <c r="R42" s="39" t="n">
        <v>0.92</v>
      </c>
      <c r="S42" s="39" t="n">
        <v>0.9</v>
      </c>
      <c r="T42" s="39" t="n">
        <v>0.85</v>
      </c>
      <c r="U42" s="40">
        <f>IFERROR(((Q42^1.4+T42)/2)*R42*(1-EXP(-4.605*S42)),"")</f>
        <v/>
      </c>
      <c r="V42" s="39" t="n">
        <v>0.65</v>
      </c>
      <c r="W42" s="39" t="n">
        <v>0.7</v>
      </c>
      <c r="X42" s="39" t="n">
        <v>0.6</v>
      </c>
      <c r="Y42" s="39" t="n">
        <v>0.7</v>
      </c>
      <c r="Z42" s="39" t="n">
        <v>0.52</v>
      </c>
      <c r="AA42" s="39" t="n">
        <v>0.7</v>
      </c>
      <c r="AB42" s="40">
        <f>IFERROR(Z42*(Y42*AA42^1.1)^1.1*((3*V42+2*W42+X42)/6)^0.5,"")</f>
        <v/>
      </c>
      <c r="AC42" s="40">
        <f>IFERROR(SQRT(AB42),"")</f>
        <v/>
      </c>
      <c r="AD42" s="39" t="n">
        <v>0.68</v>
      </c>
      <c r="AE42" s="39" t="n">
        <v>0.48</v>
      </c>
      <c r="AF42" s="40">
        <f>IFERROR(AE42*(1-AE42*H42),"")</f>
        <v/>
      </c>
      <c r="AG42" s="39" t="n">
        <v>0.65</v>
      </c>
      <c r="AH42" s="39" t="n">
        <v>0.85</v>
      </c>
      <c r="AI42" s="39" t="n">
        <v>0.78</v>
      </c>
      <c r="AJ42" s="40">
        <f>IFERROR(AH42^2.1*AG42^0.2*(2*AF42+3*AI42+AD42)/6,"")</f>
        <v/>
      </c>
      <c r="AK42" s="40">
        <f>IFERROR(SQRT(AJ42),"")</f>
        <v/>
      </c>
      <c r="AL42" s="39" t="n">
        <v>0.2</v>
      </c>
      <c r="AM42" s="40">
        <f>IFERROR(1-EXP(-AL42),"")</f>
        <v/>
      </c>
      <c r="AN42" s="40">
        <f>IFERROR(4.18*AM42^0.7*(1-AM42)^1.5,"")</f>
        <v/>
      </c>
      <c r="AO42" s="39" t="n">
        <v>0.72</v>
      </c>
      <c r="AP42" s="39" t="n">
        <v>0.52</v>
      </c>
      <c r="AQ42" s="39" t="n">
        <v>0.62</v>
      </c>
      <c r="AR42" s="39" t="n">
        <v>0.82</v>
      </c>
      <c r="AS42" s="40">
        <f>IFERROR(AN42^(1-AO42)*AP42*(4*AQ42*(1-AQ42))*AR42^1.15,"")</f>
        <v/>
      </c>
      <c r="AT42" s="40">
        <f>IFERROR(AS42^(1/3),"")</f>
        <v/>
      </c>
      <c r="AU42" s="39" t="n">
        <v>2</v>
      </c>
      <c r="AV42" s="39" t="n">
        <v>3</v>
      </c>
      <c r="AW42" s="40">
        <f>IFERROR(IF(AV42&lt;=1,AU42,AU42*(1+(AV42-1)*0.6)),"")</f>
        <v/>
      </c>
      <c r="AX42" s="39" t="n">
        <v>0.92</v>
      </c>
      <c r="AY42" s="39" t="n">
        <v>0.5</v>
      </c>
      <c r="AZ42" s="41" t="n">
        <v>0.5</v>
      </c>
      <c r="BA42" s="40">
        <f>IFERROR(AZ42/(1-AZ42),"")</f>
        <v/>
      </c>
      <c r="BB42" s="40">
        <f>IFERROR(EXP((P42-0.301)/(0.301*(1-0.301))),"")</f>
        <v/>
      </c>
      <c r="BC42" s="40">
        <f>IFERROR(EXP((U42-0.354)/(0.354*(1-0.354))),"")</f>
        <v/>
      </c>
      <c r="BD42" s="40">
        <f>IFERROR(AW42,"")</f>
        <v/>
      </c>
      <c r="BE42" s="40">
        <f>IFERROR(EXP((AX42-0.75)/(0.75*(1-0.75))),"")</f>
        <v/>
      </c>
      <c r="BF42" s="40">
        <f>IFERROR(EXP((AY42-0.5)/(0.5*(1-0.5))),"")</f>
        <v/>
      </c>
      <c r="BG42" s="40">
        <f>IFERROR(BA42*BB42*BC42*BD42*BE42*BF42,"")</f>
        <v/>
      </c>
      <c r="BH42" s="40">
        <f>IFERROR(BG42/(1+BG42),"")</f>
        <v/>
      </c>
      <c r="BI42" s="40">
        <f>IFERROR(IF(BH42&gt;=1,1E9,BH42/(1-BH42)),"")</f>
        <v/>
      </c>
      <c r="BJ42" s="40">
        <f>IFERROR(EXP((AC42-0.372)/(0.372*(1-0.372))),"")</f>
        <v/>
      </c>
      <c r="BK42" s="40">
        <f>IFERROR(EXP((AK42-0.415)/(0.415*(1-0.415))),"")</f>
        <v/>
      </c>
      <c r="BL42" s="40">
        <f>IFERROR(EXP((AT42-0.405)/(0.405*(1-0.405))),"")</f>
        <v/>
      </c>
      <c r="BM42" s="40">
        <f>IFERROR(BI42*BJ42*BK42*BL42,"")</f>
        <v/>
      </c>
      <c r="BN42" s="40">
        <f>IFERROR(BM42/(1+BM42),"")</f>
        <v/>
      </c>
      <c r="BO42" s="40">
        <f>IFERROR(IF(AC42&gt;=1,0.999,1-EXP(1-(1-AC42)^(-0.8))),"")</f>
        <v/>
      </c>
      <c r="BP42" s="40">
        <f>IFERROR(IF(AK42&gt;=1,0.999,1-EXP(1-(1-AK42)^(-0.75))),"")</f>
        <v/>
      </c>
      <c r="BQ42" s="40">
        <f>IFERROR(1-EXP(-AL42*(1+AL42)),"")</f>
        <v/>
      </c>
      <c r="BR42" s="40">
        <f>IFERROR(BQ42^(1-AO42)*AP42*(4*AQ42*(1-AQ42))*AR42^1.15,"")</f>
        <v/>
      </c>
      <c r="BS42" s="40">
        <f>IFERROR(IF(BR42^(1/3)&gt;=1,0.999,1-EXP(1-(1-BR42^(1/3))^(-0.7))),"")</f>
        <v/>
      </c>
      <c r="BT42" s="40">
        <f>1</f>
        <v/>
      </c>
      <c r="BU42" s="40">
        <f>IFERROR(EXP((BO42-0.372)/(0.372*(1-0.372))),"")</f>
        <v/>
      </c>
      <c r="BV42" s="40">
        <f>IFERROR(EXP((BP42-0.415)/(0.415*(1-0.415))),"")</f>
        <v/>
      </c>
      <c r="BW42" s="40">
        <f>IFERROR(EXP((BS42-0.405)/(0.405*(1-0.405))),"")</f>
        <v/>
      </c>
      <c r="BX42" s="40">
        <f>IFERROR(BT42*BU42*BV42*BW42,"")</f>
        <v/>
      </c>
      <c r="BY42" s="40">
        <f>IFERROR(BX42/(1+BX42),"")</f>
        <v/>
      </c>
      <c r="BZ42" s="40">
        <f>IFERROR(EXP(0.15*(SQRT(BH42)-0.5)/(0.5*0.5)),"")</f>
        <v/>
      </c>
      <c r="CA42" s="40">
        <f>IFERROR(IF(BY42&gt;=1,1E9,BY42/(1-BY42)*BZ42),"")</f>
        <v/>
      </c>
      <c r="CB42" s="40">
        <f>IFERROR(CA42/(1+CA42),"")</f>
        <v/>
      </c>
      <c r="CC42" s="42">
        <f>BH42</f>
        <v/>
      </c>
      <c r="CD42" s="42">
        <f>BN42</f>
        <v/>
      </c>
      <c r="CE42" s="42">
        <f>CB42</f>
        <v/>
      </c>
      <c r="CF42" s="43" t="inlineStr">
        <is>
          <t>Receiver confirmed strongly. National exam legitimacy well established.</t>
        </is>
      </c>
    </row>
    <row r="43" ht="40" customHeight="1">
      <c r="A43" s="46" t="n">
        <v>41</v>
      </c>
      <c r="B43" s="47" t="inlineStr">
        <is>
          <t>Private school students in Morocco have statistically higher bac pass rates than public school students, not because they are more capable but because they have more preparation resources.</t>
        </is>
      </c>
      <c r="C43" s="46" t="inlineStr">
        <is>
          <t>Education</t>
        </is>
      </c>
      <c r="D43" s="39" t="n">
        <v>0.85</v>
      </c>
      <c r="E43" s="39" t="n">
        <v>0.85</v>
      </c>
      <c r="F43" s="39" t="n">
        <v>0.82</v>
      </c>
      <c r="G43" s="39" t="n">
        <v>0.85</v>
      </c>
      <c r="H43" s="40">
        <f>IFERROR(AVERAGE(D43,E43,F43,G43),"")</f>
        <v/>
      </c>
      <c r="I43" s="39" t="n">
        <v>0.72</v>
      </c>
      <c r="J43" s="39" t="n">
        <v>0.68</v>
      </c>
      <c r="K43" s="39" t="n">
        <v>0.7</v>
      </c>
      <c r="L43" s="39" t="n">
        <v>0.65</v>
      </c>
      <c r="M43" s="40">
        <f>IFERROR(AVERAGE(I43,J43,K43,L43),"")</f>
        <v/>
      </c>
      <c r="N43" s="39" t="n">
        <v>0.6</v>
      </c>
      <c r="O43" s="39" t="n">
        <v>0.75</v>
      </c>
      <c r="P43" s="40">
        <f>IFERROR(IF(H43=0,0,H43^(H43^(-0.5)))*SQRT(M43)*((4*N43+O43)/5),"")</f>
        <v/>
      </c>
      <c r="Q43" s="39" t="n">
        <v>0.45</v>
      </c>
      <c r="R43" s="39" t="n">
        <v>0.88</v>
      </c>
      <c r="S43" s="39" t="n">
        <v>0.85</v>
      </c>
      <c r="T43" s="39" t="n">
        <v>0.82</v>
      </c>
      <c r="U43" s="40">
        <f>IFERROR(((Q43^1.4+T43)/2)*R43*(1-EXP(-4.605*S43)),"")</f>
        <v/>
      </c>
      <c r="V43" s="39" t="n">
        <v>0.62</v>
      </c>
      <c r="W43" s="39" t="n">
        <v>0.68</v>
      </c>
      <c r="X43" s="39" t="n">
        <v>0.6</v>
      </c>
      <c r="Y43" s="39" t="n">
        <v>0.68</v>
      </c>
      <c r="Z43" s="39" t="n">
        <v>0.48</v>
      </c>
      <c r="AA43" s="39" t="n">
        <v>0.68</v>
      </c>
      <c r="AB43" s="40">
        <f>IFERROR(Z43*(Y43*AA43^1.1)^1.1*((3*V43+2*W43+X43)/6)^0.5,"")</f>
        <v/>
      </c>
      <c r="AC43" s="40">
        <f>IFERROR(SQRT(AB43),"")</f>
        <v/>
      </c>
      <c r="AD43" s="39" t="n">
        <v>0.65</v>
      </c>
      <c r="AE43" s="39" t="n">
        <v>0.48</v>
      </c>
      <c r="AF43" s="40">
        <f>IFERROR(AE43*(1-AE43*H43),"")</f>
        <v/>
      </c>
      <c r="AG43" s="39" t="n">
        <v>0.62</v>
      </c>
      <c r="AH43" s="39" t="n">
        <v>0.78</v>
      </c>
      <c r="AI43" s="39" t="n">
        <v>0.75</v>
      </c>
      <c r="AJ43" s="40">
        <f>IFERROR(AH43^2.1*AG43^0.2*(2*AF43+3*AI43+AD43)/6,"")</f>
        <v/>
      </c>
      <c r="AK43" s="40">
        <f>IFERROR(SQRT(AJ43),"")</f>
        <v/>
      </c>
      <c r="AL43" s="39" t="n">
        <v>0.45</v>
      </c>
      <c r="AM43" s="40">
        <f>IFERROR(1-EXP(-AL43),"")</f>
        <v/>
      </c>
      <c r="AN43" s="40">
        <f>IFERROR(4.18*AM43^0.7*(1-AM43)^1.5,"")</f>
        <v/>
      </c>
      <c r="AO43" s="39" t="n">
        <v>0.72</v>
      </c>
      <c r="AP43" s="39" t="n">
        <v>0.52</v>
      </c>
      <c r="AQ43" s="39" t="n">
        <v>0.6</v>
      </c>
      <c r="AR43" s="39" t="n">
        <v>0.8</v>
      </c>
      <c r="AS43" s="40">
        <f>IFERROR(AN43^(1-AO43)*AP43*(4*AQ43*(1-AQ43))*AR43^1.15,"")</f>
        <v/>
      </c>
      <c r="AT43" s="40">
        <f>IFERROR(AS43^(1/3),"")</f>
        <v/>
      </c>
      <c r="AU43" s="39" t="n">
        <v>1.6</v>
      </c>
      <c r="AV43" s="39" t="n">
        <v>2</v>
      </c>
      <c r="AW43" s="40">
        <f>IFERROR(IF(AV43&lt;=1,AU43,AU43*(1+(AV43-1)*0.6)),"")</f>
        <v/>
      </c>
      <c r="AX43" s="39" t="n">
        <v>0.85</v>
      </c>
      <c r="AY43" s="39" t="n">
        <v>0.4</v>
      </c>
      <c r="AZ43" s="41" t="n">
        <v>0.5</v>
      </c>
      <c r="BA43" s="40">
        <f>IFERROR(AZ43/(1-AZ43),"")</f>
        <v/>
      </c>
      <c r="BB43" s="40">
        <f>IFERROR(EXP((P43-0.301)/(0.301*(1-0.301))),"")</f>
        <v/>
      </c>
      <c r="BC43" s="40">
        <f>IFERROR(EXP((U43-0.354)/(0.354*(1-0.354))),"")</f>
        <v/>
      </c>
      <c r="BD43" s="40">
        <f>IFERROR(AW43,"")</f>
        <v/>
      </c>
      <c r="BE43" s="40">
        <f>IFERROR(EXP((AX43-0.75)/(0.75*(1-0.75))),"")</f>
        <v/>
      </c>
      <c r="BF43" s="40">
        <f>IFERROR(EXP((AY43-0.5)/(0.5*(1-0.5))),"")</f>
        <v/>
      </c>
      <c r="BG43" s="40">
        <f>IFERROR(BA43*BB43*BC43*BD43*BE43*BF43,"")</f>
        <v/>
      </c>
      <c r="BH43" s="40">
        <f>IFERROR(BG43/(1+BG43),"")</f>
        <v/>
      </c>
      <c r="BI43" s="40">
        <f>IFERROR(IF(BH43&gt;=1,1E9,BH43/(1-BH43)),"")</f>
        <v/>
      </c>
      <c r="BJ43" s="40">
        <f>IFERROR(EXP((AC43-0.372)/(0.372*(1-0.372))),"")</f>
        <v/>
      </c>
      <c r="BK43" s="40">
        <f>IFERROR(EXP((AK43-0.415)/(0.415*(1-0.415))),"")</f>
        <v/>
      </c>
      <c r="BL43" s="40">
        <f>IFERROR(EXP((AT43-0.405)/(0.405*(1-0.405))),"")</f>
        <v/>
      </c>
      <c r="BM43" s="40">
        <f>IFERROR(BI43*BJ43*BK43*BL43,"")</f>
        <v/>
      </c>
      <c r="BN43" s="40">
        <f>IFERROR(BM43/(1+BM43),"")</f>
        <v/>
      </c>
      <c r="BO43" s="40">
        <f>IFERROR(IF(AC43&gt;=1,0.999,1-EXP(1-(1-AC43)^(-0.8))),"")</f>
        <v/>
      </c>
      <c r="BP43" s="40">
        <f>IFERROR(IF(AK43&gt;=1,0.999,1-EXP(1-(1-AK43)^(-0.75))),"")</f>
        <v/>
      </c>
      <c r="BQ43" s="40">
        <f>IFERROR(1-EXP(-AL43*(1+AL43)),"")</f>
        <v/>
      </c>
      <c r="BR43" s="40">
        <f>IFERROR(BQ43^(1-AO43)*AP43*(4*AQ43*(1-AQ43))*AR43^1.15,"")</f>
        <v/>
      </c>
      <c r="BS43" s="40">
        <f>IFERROR(IF(BR43^(1/3)&gt;=1,0.999,1-EXP(1-(1-BR43^(1/3))^(-0.7))),"")</f>
        <v/>
      </c>
      <c r="BT43" s="40">
        <f>1</f>
        <v/>
      </c>
      <c r="BU43" s="40">
        <f>IFERROR(EXP((BO43-0.372)/(0.372*(1-0.372))),"")</f>
        <v/>
      </c>
      <c r="BV43" s="40">
        <f>IFERROR(EXP((BP43-0.415)/(0.415*(1-0.415))),"")</f>
        <v/>
      </c>
      <c r="BW43" s="40">
        <f>IFERROR(EXP((BS43-0.405)/(0.405*(1-0.405))),"")</f>
        <v/>
      </c>
      <c r="BX43" s="40">
        <f>IFERROR(BT43*BU43*BV43*BW43,"")</f>
        <v/>
      </c>
      <c r="BY43" s="40">
        <f>IFERROR(BX43/(1+BX43),"")</f>
        <v/>
      </c>
      <c r="BZ43" s="40">
        <f>IFERROR(EXP(0.15*(SQRT(BH43)-0.5)/(0.5*0.5)),"")</f>
        <v/>
      </c>
      <c r="CA43" s="40">
        <f>IFERROR(IF(BY43&gt;=1,1E9,BY43/(1-BY43)*BZ43),"")</f>
        <v/>
      </c>
      <c r="CB43" s="40">
        <f>IFERROR(CA43/(1+CA43),"")</f>
        <v/>
      </c>
      <c r="CC43" s="42">
        <f>BH43</f>
        <v/>
      </c>
      <c r="CD43" s="42">
        <f>BN43</f>
        <v/>
      </c>
      <c r="CE43" s="42">
        <f>CB43</f>
        <v/>
      </c>
      <c r="CF43" s="43" t="inlineStr">
        <is>
          <t>True and nuanced. Resources vs capability distinction important.</t>
        </is>
      </c>
    </row>
    <row r="44" ht="40" customHeight="1">
      <c r="A44" s="46" t="n">
        <v>42</v>
      </c>
      <c r="B44" s="47" t="inlineStr">
        <is>
          <t>The top bac scores in Morocco consistently come from public school students.</t>
        </is>
      </c>
      <c r="C44" s="46" t="inlineStr">
        <is>
          <t>Education</t>
        </is>
      </c>
      <c r="D44" s="39" t="n">
        <v>0.85</v>
      </c>
      <c r="E44" s="39" t="n">
        <v>0.85</v>
      </c>
      <c r="F44" s="39" t="n">
        <v>0.82</v>
      </c>
      <c r="G44" s="39" t="n">
        <v>0.85</v>
      </c>
      <c r="H44" s="40">
        <f>IFERROR(AVERAGE(D44,E44,F44,G44),"")</f>
        <v/>
      </c>
      <c r="I44" s="39" t="n">
        <v>0.72</v>
      </c>
      <c r="J44" s="39" t="n">
        <v>0.68</v>
      </c>
      <c r="K44" s="39" t="n">
        <v>0.7</v>
      </c>
      <c r="L44" s="39" t="n">
        <v>0.65</v>
      </c>
      <c r="M44" s="40">
        <f>IFERROR(AVERAGE(I44,J44,K44,L44),"")</f>
        <v/>
      </c>
      <c r="N44" s="39" t="n">
        <v>0.6</v>
      </c>
      <c r="O44" s="39" t="n">
        <v>0.72</v>
      </c>
      <c r="P44" s="40">
        <f>IFERROR(IF(H44=0,0,H44^(H44^(-0.5)))*SQRT(M44)*((4*N44+O44)/5),"")</f>
        <v/>
      </c>
      <c r="Q44" s="39" t="n">
        <v>0.55</v>
      </c>
      <c r="R44" s="39" t="n">
        <v>0.88</v>
      </c>
      <c r="S44" s="39" t="n">
        <v>0.88</v>
      </c>
      <c r="T44" s="39" t="n">
        <v>0.8</v>
      </c>
      <c r="U44" s="40">
        <f>IFERROR(((Q44^1.4+T44)/2)*R44*(1-EXP(-4.605*S44)),"")</f>
        <v/>
      </c>
      <c r="V44" s="39" t="n">
        <v>0.62</v>
      </c>
      <c r="W44" s="39" t="n">
        <v>0.68</v>
      </c>
      <c r="X44" s="39" t="n">
        <v>0.6</v>
      </c>
      <c r="Y44" s="39" t="n">
        <v>0.68</v>
      </c>
      <c r="Z44" s="39" t="n">
        <v>0.48</v>
      </c>
      <c r="AA44" s="39" t="n">
        <v>0.68</v>
      </c>
      <c r="AB44" s="40">
        <f>IFERROR(Z44*(Y44*AA44^1.1)^1.1*((3*V44+2*W44+X44)/6)^0.5,"")</f>
        <v/>
      </c>
      <c r="AC44" s="40">
        <f>IFERROR(SQRT(AB44),"")</f>
        <v/>
      </c>
      <c r="AD44" s="39" t="n">
        <v>0.62</v>
      </c>
      <c r="AE44" s="39" t="n">
        <v>0.45</v>
      </c>
      <c r="AF44" s="40">
        <f>IFERROR(AE44*(1-AE44*H44),"")</f>
        <v/>
      </c>
      <c r="AG44" s="39" t="n">
        <v>0.6</v>
      </c>
      <c r="AH44" s="39" t="n">
        <v>0.72</v>
      </c>
      <c r="AI44" s="39" t="n">
        <v>0.7</v>
      </c>
      <c r="AJ44" s="40">
        <f>IFERROR(AH44^2.1*AG44^0.2*(2*AF44+3*AI44+AD44)/6,"")</f>
        <v/>
      </c>
      <c r="AK44" s="40">
        <f>IFERROR(SQRT(AJ44),"")</f>
        <v/>
      </c>
      <c r="AL44" s="39" t="n">
        <v>1.2</v>
      </c>
      <c r="AM44" s="40">
        <f>IFERROR(1-EXP(-AL44),"")</f>
        <v/>
      </c>
      <c r="AN44" s="40">
        <f>IFERROR(4.18*AM44^0.7*(1-AM44)^1.5,"")</f>
        <v/>
      </c>
      <c r="AO44" s="39" t="n">
        <v>0.68</v>
      </c>
      <c r="AP44" s="39" t="n">
        <v>0.52</v>
      </c>
      <c r="AQ44" s="39" t="n">
        <v>0.58</v>
      </c>
      <c r="AR44" s="39" t="n">
        <v>0.72</v>
      </c>
      <c r="AS44" s="40">
        <f>IFERROR(AN44^(1-AO44)*AP44*(4*AQ44*(1-AQ44))*AR44^1.15,"")</f>
        <v/>
      </c>
      <c r="AT44" s="40">
        <f>IFERROR(AS44^(1/3),"")</f>
        <v/>
      </c>
      <c r="AU44" s="39" t="n">
        <v>1.6</v>
      </c>
      <c r="AV44" s="39" t="n">
        <v>2</v>
      </c>
      <c r="AW44" s="40">
        <f>IFERROR(IF(AV44&lt;=1,AU44,AU44*(1+(AV44-1)*0.6)),"")</f>
        <v/>
      </c>
      <c r="AX44" s="39" t="n">
        <v>0.85</v>
      </c>
      <c r="AY44" s="39" t="n">
        <v>0.4</v>
      </c>
      <c r="AZ44" s="41" t="n">
        <v>0.5</v>
      </c>
      <c r="BA44" s="40">
        <f>IFERROR(AZ44/(1-AZ44),"")</f>
        <v/>
      </c>
      <c r="BB44" s="40">
        <f>IFERROR(EXP((P44-0.301)/(0.301*(1-0.301))),"")</f>
        <v/>
      </c>
      <c r="BC44" s="40">
        <f>IFERROR(EXP((U44-0.354)/(0.354*(1-0.354))),"")</f>
        <v/>
      </c>
      <c r="BD44" s="40">
        <f>IFERROR(AW44,"")</f>
        <v/>
      </c>
      <c r="BE44" s="40">
        <f>IFERROR(EXP((AX44-0.75)/(0.75*(1-0.75))),"")</f>
        <v/>
      </c>
      <c r="BF44" s="40">
        <f>IFERROR(EXP((AY44-0.5)/(0.5*(1-0.5))),"")</f>
        <v/>
      </c>
      <c r="BG44" s="40">
        <f>IFERROR(BA44*BB44*BC44*BD44*BE44*BF44,"")</f>
        <v/>
      </c>
      <c r="BH44" s="40">
        <f>IFERROR(BG44/(1+BG44),"")</f>
        <v/>
      </c>
      <c r="BI44" s="40">
        <f>IFERROR(IF(BH44&gt;=1,1E9,BH44/(1-BH44)),"")</f>
        <v/>
      </c>
      <c r="BJ44" s="40">
        <f>IFERROR(EXP((AC44-0.372)/(0.372*(1-0.372))),"")</f>
        <v/>
      </c>
      <c r="BK44" s="40">
        <f>IFERROR(EXP((AK44-0.415)/(0.415*(1-0.415))),"")</f>
        <v/>
      </c>
      <c r="BL44" s="40">
        <f>IFERROR(EXP((AT44-0.405)/(0.405*(1-0.405))),"")</f>
        <v/>
      </c>
      <c r="BM44" s="40">
        <f>IFERROR(BI44*BJ44*BK44*BL44,"")</f>
        <v/>
      </c>
      <c r="BN44" s="40">
        <f>IFERROR(BM44/(1+BM44),"")</f>
        <v/>
      </c>
      <c r="BO44" s="40">
        <f>IFERROR(IF(AC44&gt;=1,0.999,1-EXP(1-(1-AC44)^(-0.8))),"")</f>
        <v/>
      </c>
      <c r="BP44" s="40">
        <f>IFERROR(IF(AK44&gt;=1,0.999,1-EXP(1-(1-AK44)^(-0.75))),"")</f>
        <v/>
      </c>
      <c r="BQ44" s="40">
        <f>IFERROR(1-EXP(-AL44*(1+AL44)),"")</f>
        <v/>
      </c>
      <c r="BR44" s="40">
        <f>IFERROR(BQ44^(1-AO44)*AP44*(4*AQ44*(1-AQ44))*AR44^1.15,"")</f>
        <v/>
      </c>
      <c r="BS44" s="40">
        <f>IFERROR(IF(BR44^(1/3)&gt;=1,0.999,1-EXP(1-(1-BR44^(1/3))^(-0.7))),"")</f>
        <v/>
      </c>
      <c r="BT44" s="40">
        <f>1</f>
        <v/>
      </c>
      <c r="BU44" s="40">
        <f>IFERROR(EXP((BO44-0.372)/(0.372*(1-0.372))),"")</f>
        <v/>
      </c>
      <c r="BV44" s="40">
        <f>IFERROR(EXP((BP44-0.415)/(0.415*(1-0.415))),"")</f>
        <v/>
      </c>
      <c r="BW44" s="40">
        <f>IFERROR(EXP((BS44-0.405)/(0.405*(1-0.405))),"")</f>
        <v/>
      </c>
      <c r="BX44" s="40">
        <f>IFERROR(BT44*BU44*BV44*BW44,"")</f>
        <v/>
      </c>
      <c r="BY44" s="40">
        <f>IFERROR(BX44/(1+BX44),"")</f>
        <v/>
      </c>
      <c r="BZ44" s="40">
        <f>IFERROR(EXP(0.15*(SQRT(BH44)-0.5)/(0.5*0.5)),"")</f>
        <v/>
      </c>
      <c r="CA44" s="40">
        <f>IFERROR(IF(BY44&gt;=1,1E9,BY44/(1-BY44)*BZ44),"")</f>
        <v/>
      </c>
      <c r="CB44" s="40">
        <f>IFERROR(CA44/(1+CA44),"")</f>
        <v/>
      </c>
      <c r="CC44" s="42">
        <f>BH44</f>
        <v/>
      </c>
      <c r="CD44" s="42">
        <f>BN44</f>
        <v/>
      </c>
      <c r="CE44" s="42">
        <f>CB44</f>
        <v/>
      </c>
      <c r="CF44" s="43" t="inlineStr">
        <is>
          <t>True but counterintuitive. N_raw=1.2. Challenges common assumption.</t>
        </is>
      </c>
    </row>
    <row r="45" ht="40" customHeight="1">
      <c r="A45" s="46" t="n">
        <v>43</v>
      </c>
      <c r="B45" s="47" t="inlineStr">
        <is>
          <t>The Moroccan school system fails both its strongest and its weakest students — it is built for the average and serves no one well.</t>
        </is>
      </c>
      <c r="C45" s="46" t="inlineStr">
        <is>
          <t>Education</t>
        </is>
      </c>
      <c r="D45" s="39" t="n">
        <v>0.82</v>
      </c>
      <c r="E45" s="39" t="n">
        <v>0.82</v>
      </c>
      <c r="F45" s="39" t="n">
        <v>0.8</v>
      </c>
      <c r="G45" s="39" t="n">
        <v>0.82</v>
      </c>
      <c r="H45" s="40">
        <f>IFERROR(AVERAGE(D45,E45,F45,G45),"")</f>
        <v/>
      </c>
      <c r="I45" s="39" t="n">
        <v>0.68</v>
      </c>
      <c r="J45" s="39" t="n">
        <v>0.65</v>
      </c>
      <c r="K45" s="39" t="n">
        <v>0.68</v>
      </c>
      <c r="L45" s="39" t="n">
        <v>0.62</v>
      </c>
      <c r="M45" s="40">
        <f>IFERROR(AVERAGE(I45,J45,K45,L45),"")</f>
        <v/>
      </c>
      <c r="N45" s="39" t="n">
        <v>0.55</v>
      </c>
      <c r="O45" s="39" t="n">
        <v>0.72</v>
      </c>
      <c r="P45" s="40">
        <f>IFERROR(IF(H45=0,0,H45^(H45^(-0.5)))*SQRT(M45)*((4*N45+O45)/5),"")</f>
        <v/>
      </c>
      <c r="Q45" s="39" t="n">
        <v>0.48</v>
      </c>
      <c r="R45" s="39" t="n">
        <v>0.82</v>
      </c>
      <c r="S45" s="39" t="n">
        <v>0.8</v>
      </c>
      <c r="T45" s="39" t="n">
        <v>0.78</v>
      </c>
      <c r="U45" s="40">
        <f>IFERROR(((Q45^1.4+T45)/2)*R45*(1-EXP(-4.605*S45)),"")</f>
        <v/>
      </c>
      <c r="V45" s="39" t="n">
        <v>0.62</v>
      </c>
      <c r="W45" s="39" t="n">
        <v>0.68</v>
      </c>
      <c r="X45" s="39" t="n">
        <v>0.6</v>
      </c>
      <c r="Y45" s="39" t="n">
        <v>0.68</v>
      </c>
      <c r="Z45" s="39" t="n">
        <v>0.45</v>
      </c>
      <c r="AA45" s="39" t="n">
        <v>0.68</v>
      </c>
      <c r="AB45" s="40">
        <f>IFERROR(Z45*(Y45*AA45^1.1)^1.1*((3*V45+2*W45+X45)/6)^0.5,"")</f>
        <v/>
      </c>
      <c r="AC45" s="40">
        <f>IFERROR(SQRT(AB45),"")</f>
        <v/>
      </c>
      <c r="AD45" s="39" t="n">
        <v>0.62</v>
      </c>
      <c r="AE45" s="39" t="n">
        <v>0.45</v>
      </c>
      <c r="AF45" s="40">
        <f>IFERROR(AE45*(1-AE45*H45),"")</f>
        <v/>
      </c>
      <c r="AG45" s="39" t="n">
        <v>0.6</v>
      </c>
      <c r="AH45" s="39" t="n">
        <v>0.7</v>
      </c>
      <c r="AI45" s="39" t="n">
        <v>0.72</v>
      </c>
      <c r="AJ45" s="40">
        <f>IFERROR(AH45^2.1*AG45^0.2*(2*AF45+3*AI45+AD45)/6,"")</f>
        <v/>
      </c>
      <c r="AK45" s="40">
        <f>IFERROR(SQRT(AJ45),"")</f>
        <v/>
      </c>
      <c r="AL45" s="39" t="n">
        <v>0.5</v>
      </c>
      <c r="AM45" s="40">
        <f>IFERROR(1-EXP(-AL45),"")</f>
        <v/>
      </c>
      <c r="AN45" s="40">
        <f>IFERROR(4.18*AM45^0.7*(1-AM45)^1.5,"")</f>
        <v/>
      </c>
      <c r="AO45" s="39" t="n">
        <v>0.7</v>
      </c>
      <c r="AP45" s="39" t="n">
        <v>0.52</v>
      </c>
      <c r="AQ45" s="39" t="n">
        <v>0.6</v>
      </c>
      <c r="AR45" s="39" t="n">
        <v>0.8</v>
      </c>
      <c r="AS45" s="40">
        <f>IFERROR(AN45^(1-AO45)*AP45*(4*AQ45*(1-AQ45))*AR45^1.15,"")</f>
        <v/>
      </c>
      <c r="AT45" s="40">
        <f>IFERROR(AS45^(1/3),"")</f>
        <v/>
      </c>
      <c r="AU45" s="39" t="n">
        <v>1.4</v>
      </c>
      <c r="AV45" s="39" t="n">
        <v>2</v>
      </c>
      <c r="AW45" s="40">
        <f>IFERROR(IF(AV45&lt;=1,AU45,AU45*(1+(AV45-1)*0.6)),"")</f>
        <v/>
      </c>
      <c r="AX45" s="39" t="n">
        <v>0.78</v>
      </c>
      <c r="AY45" s="39" t="n">
        <v>0.32</v>
      </c>
      <c r="AZ45" s="41" t="n">
        <v>0.5</v>
      </c>
      <c r="BA45" s="40">
        <f>IFERROR(AZ45/(1-AZ45),"")</f>
        <v/>
      </c>
      <c r="BB45" s="40">
        <f>IFERROR(EXP((P45-0.301)/(0.301*(1-0.301))),"")</f>
        <v/>
      </c>
      <c r="BC45" s="40">
        <f>IFERROR(EXP((U45-0.354)/(0.354*(1-0.354))),"")</f>
        <v/>
      </c>
      <c r="BD45" s="40">
        <f>IFERROR(AW45,"")</f>
        <v/>
      </c>
      <c r="BE45" s="40">
        <f>IFERROR(EXP((AX45-0.75)/(0.75*(1-0.75))),"")</f>
        <v/>
      </c>
      <c r="BF45" s="40">
        <f>IFERROR(EXP((AY45-0.5)/(0.5*(1-0.5))),"")</f>
        <v/>
      </c>
      <c r="BG45" s="40">
        <f>IFERROR(BA45*BB45*BC45*BD45*BE45*BF45,"")</f>
        <v/>
      </c>
      <c r="BH45" s="40">
        <f>IFERROR(BG45/(1+BG45),"")</f>
        <v/>
      </c>
      <c r="BI45" s="40">
        <f>IFERROR(IF(BH45&gt;=1,1E9,BH45/(1-BH45)),"")</f>
        <v/>
      </c>
      <c r="BJ45" s="40">
        <f>IFERROR(EXP((AC45-0.372)/(0.372*(1-0.372))),"")</f>
        <v/>
      </c>
      <c r="BK45" s="40">
        <f>IFERROR(EXP((AK45-0.415)/(0.415*(1-0.415))),"")</f>
        <v/>
      </c>
      <c r="BL45" s="40">
        <f>IFERROR(EXP((AT45-0.405)/(0.405*(1-0.405))),"")</f>
        <v/>
      </c>
      <c r="BM45" s="40">
        <f>IFERROR(BI45*BJ45*BK45*BL45,"")</f>
        <v/>
      </c>
      <c r="BN45" s="40">
        <f>IFERROR(BM45/(1+BM45),"")</f>
        <v/>
      </c>
      <c r="BO45" s="40">
        <f>IFERROR(IF(AC45&gt;=1,0.999,1-EXP(1-(1-AC45)^(-0.8))),"")</f>
        <v/>
      </c>
      <c r="BP45" s="40">
        <f>IFERROR(IF(AK45&gt;=1,0.999,1-EXP(1-(1-AK45)^(-0.75))),"")</f>
        <v/>
      </c>
      <c r="BQ45" s="40">
        <f>IFERROR(1-EXP(-AL45*(1+AL45)),"")</f>
        <v/>
      </c>
      <c r="BR45" s="40">
        <f>IFERROR(BQ45^(1-AO45)*AP45*(4*AQ45*(1-AQ45))*AR45^1.15,"")</f>
        <v/>
      </c>
      <c r="BS45" s="40">
        <f>IFERROR(IF(BR45^(1/3)&gt;=1,0.999,1-EXP(1-(1-BR45^(1/3))^(-0.7))),"")</f>
        <v/>
      </c>
      <c r="BT45" s="40">
        <f>1</f>
        <v/>
      </c>
      <c r="BU45" s="40">
        <f>IFERROR(EXP((BO45-0.372)/(0.372*(1-0.372))),"")</f>
        <v/>
      </c>
      <c r="BV45" s="40">
        <f>IFERROR(EXP((BP45-0.415)/(0.415*(1-0.415))),"")</f>
        <v/>
      </c>
      <c r="BW45" s="40">
        <f>IFERROR(EXP((BS45-0.405)/(0.405*(1-0.405))),"")</f>
        <v/>
      </c>
      <c r="BX45" s="40">
        <f>IFERROR(BT45*BU45*BV45*BW45,"")</f>
        <v/>
      </c>
      <c r="BY45" s="40">
        <f>IFERROR(BX45/(1+BX45),"")</f>
        <v/>
      </c>
      <c r="BZ45" s="40">
        <f>IFERROR(EXP(0.15*(SQRT(BH45)-0.5)/(0.5*0.5)),"")</f>
        <v/>
      </c>
      <c r="CA45" s="40">
        <f>IFERROR(IF(BY45&gt;=1,1E9,BY45/(1-BY45)*BZ45),"")</f>
        <v/>
      </c>
      <c r="CB45" s="40">
        <f>IFERROR(CA45/(1+CA45),"")</f>
        <v/>
      </c>
      <c r="CC45" s="42">
        <f>BH45</f>
        <v/>
      </c>
      <c r="CD45" s="42">
        <f>BN45</f>
        <v/>
      </c>
      <c r="CE45" s="42">
        <f>CB45</f>
        <v/>
      </c>
      <c r="CF45" s="43" t="inlineStr">
        <is>
          <t>A bit contested. Strong opinion claim. Receiver confirmed direction.</t>
        </is>
      </c>
    </row>
    <row r="46" ht="40" customHeight="1">
      <c r="A46" s="46" t="n">
        <v>44</v>
      </c>
      <c r="B46" s="47" t="inlineStr">
        <is>
          <t>Arabic as a language of classroom instruction is in decline — students who succeed professionally in Morocco overwhelmingly switch to French.</t>
        </is>
      </c>
      <c r="C46" s="46" t="inlineStr">
        <is>
          <t>Education</t>
        </is>
      </c>
      <c r="D46" s="39" t="n">
        <v>0.8</v>
      </c>
      <c r="E46" s="39" t="n">
        <v>0.8</v>
      </c>
      <c r="F46" s="39" t="n">
        <v>0.78</v>
      </c>
      <c r="G46" s="39" t="n">
        <v>0.8</v>
      </c>
      <c r="H46" s="40">
        <f>IFERROR(AVERAGE(D46,E46,F46,G46),"")</f>
        <v/>
      </c>
      <c r="I46" s="39" t="n">
        <v>0.68</v>
      </c>
      <c r="J46" s="39" t="n">
        <v>0.65</v>
      </c>
      <c r="K46" s="39" t="n">
        <v>0.68</v>
      </c>
      <c r="L46" s="39" t="n">
        <v>0.62</v>
      </c>
      <c r="M46" s="40">
        <f>IFERROR(AVERAGE(I46,J46,K46,L46),"")</f>
        <v/>
      </c>
      <c r="N46" s="39" t="n">
        <v>0.55</v>
      </c>
      <c r="O46" s="39" t="n">
        <v>0.7</v>
      </c>
      <c r="P46" s="40">
        <f>IFERROR(IF(H46=0,0,H46^(H46^(-0.5)))*SQRT(M46)*((4*N46+O46)/5),"")</f>
        <v/>
      </c>
      <c r="Q46" s="39" t="n">
        <v>0.45</v>
      </c>
      <c r="R46" s="39" t="n">
        <v>0.82</v>
      </c>
      <c r="S46" s="39" t="n">
        <v>0.8</v>
      </c>
      <c r="T46" s="39" t="n">
        <v>0.75</v>
      </c>
      <c r="U46" s="40">
        <f>IFERROR(((Q46^1.4+T46)/2)*R46*(1-EXP(-4.605*S46)),"")</f>
        <v/>
      </c>
      <c r="V46" s="39" t="n">
        <v>0.6</v>
      </c>
      <c r="W46" s="39" t="n">
        <v>0.65</v>
      </c>
      <c r="X46" s="39" t="n">
        <v>0.6</v>
      </c>
      <c r="Y46" s="39" t="n">
        <v>0.65</v>
      </c>
      <c r="Z46" s="39" t="n">
        <v>0.45</v>
      </c>
      <c r="AA46" s="39" t="n">
        <v>0.68</v>
      </c>
      <c r="AB46" s="40">
        <f>IFERROR(Z46*(Y46*AA46^1.1)^1.1*((3*V46+2*W46+X46)/6)^0.5,"")</f>
        <v/>
      </c>
      <c r="AC46" s="40">
        <f>IFERROR(SQRT(AB46),"")</f>
        <v/>
      </c>
      <c r="AD46" s="39" t="n">
        <v>0.6</v>
      </c>
      <c r="AE46" s="39" t="n">
        <v>0.42</v>
      </c>
      <c r="AF46" s="40">
        <f>IFERROR(AE46*(1-AE46*H46),"")</f>
        <v/>
      </c>
      <c r="AG46" s="39" t="n">
        <v>0.58</v>
      </c>
      <c r="AH46" s="39" t="n">
        <v>0.65</v>
      </c>
      <c r="AI46" s="39" t="n">
        <v>0.68</v>
      </c>
      <c r="AJ46" s="40">
        <f>IFERROR(AH46^2.1*AG46^0.2*(2*AF46+3*AI46+AD46)/6,"")</f>
        <v/>
      </c>
      <c r="AK46" s="40">
        <f>IFERROR(SQRT(AJ46),"")</f>
        <v/>
      </c>
      <c r="AL46" s="39" t="n">
        <v>0.4</v>
      </c>
      <c r="AM46" s="40">
        <f>IFERROR(1-EXP(-AL46),"")</f>
        <v/>
      </c>
      <c r="AN46" s="40">
        <f>IFERROR(4.18*AM46^0.7*(1-AM46)^1.5,"")</f>
        <v/>
      </c>
      <c r="AO46" s="39" t="n">
        <v>0.7</v>
      </c>
      <c r="AP46" s="39" t="n">
        <v>0.52</v>
      </c>
      <c r="AQ46" s="39" t="n">
        <v>0.65</v>
      </c>
      <c r="AR46" s="39" t="n">
        <v>0.72</v>
      </c>
      <c r="AS46" s="40">
        <f>IFERROR(AN46^(1-AO46)*AP46*(4*AQ46*(1-AQ46))*AR46^1.15,"")</f>
        <v/>
      </c>
      <c r="AT46" s="40">
        <f>IFERROR(AS46^(1/3),"")</f>
        <v/>
      </c>
      <c r="AU46" s="39" t="n">
        <v>1.4</v>
      </c>
      <c r="AV46" s="39" t="n">
        <v>2</v>
      </c>
      <c r="AW46" s="40">
        <f>IFERROR(IF(AV46&lt;=1,AU46,AU46*(1+(AV46-1)*0.6)),"")</f>
        <v/>
      </c>
      <c r="AX46" s="39" t="n">
        <v>0.78</v>
      </c>
      <c r="AY46" s="39" t="n">
        <v>0.32</v>
      </c>
      <c r="AZ46" s="41" t="n">
        <v>0.5</v>
      </c>
      <c r="BA46" s="40">
        <f>IFERROR(AZ46/(1-AZ46),"")</f>
        <v/>
      </c>
      <c r="BB46" s="40">
        <f>IFERROR(EXP((P46-0.301)/(0.301*(1-0.301))),"")</f>
        <v/>
      </c>
      <c r="BC46" s="40">
        <f>IFERROR(EXP((U46-0.354)/(0.354*(1-0.354))),"")</f>
        <v/>
      </c>
      <c r="BD46" s="40">
        <f>IFERROR(AW46,"")</f>
        <v/>
      </c>
      <c r="BE46" s="40">
        <f>IFERROR(EXP((AX46-0.75)/(0.75*(1-0.75))),"")</f>
        <v/>
      </c>
      <c r="BF46" s="40">
        <f>IFERROR(EXP((AY46-0.5)/(0.5*(1-0.5))),"")</f>
        <v/>
      </c>
      <c r="BG46" s="40">
        <f>IFERROR(BA46*BB46*BC46*BD46*BE46*BF46,"")</f>
        <v/>
      </c>
      <c r="BH46" s="40">
        <f>IFERROR(BG46/(1+BG46),"")</f>
        <v/>
      </c>
      <c r="BI46" s="40">
        <f>IFERROR(IF(BH46&gt;=1,1E9,BH46/(1-BH46)),"")</f>
        <v/>
      </c>
      <c r="BJ46" s="40">
        <f>IFERROR(EXP((AC46-0.372)/(0.372*(1-0.372))),"")</f>
        <v/>
      </c>
      <c r="BK46" s="40">
        <f>IFERROR(EXP((AK46-0.415)/(0.415*(1-0.415))),"")</f>
        <v/>
      </c>
      <c r="BL46" s="40">
        <f>IFERROR(EXP((AT46-0.405)/(0.405*(1-0.405))),"")</f>
        <v/>
      </c>
      <c r="BM46" s="40">
        <f>IFERROR(BI46*BJ46*BK46*BL46,"")</f>
        <v/>
      </c>
      <c r="BN46" s="40">
        <f>IFERROR(BM46/(1+BM46),"")</f>
        <v/>
      </c>
      <c r="BO46" s="40">
        <f>IFERROR(IF(AC46&gt;=1,0.999,1-EXP(1-(1-AC46)^(-0.8))),"")</f>
        <v/>
      </c>
      <c r="BP46" s="40">
        <f>IFERROR(IF(AK46&gt;=1,0.999,1-EXP(1-(1-AK46)^(-0.75))),"")</f>
        <v/>
      </c>
      <c r="BQ46" s="40">
        <f>IFERROR(1-EXP(-AL46*(1+AL46)),"")</f>
        <v/>
      </c>
      <c r="BR46" s="40">
        <f>IFERROR(BQ46^(1-AO46)*AP46*(4*AQ46*(1-AQ46))*AR46^1.15,"")</f>
        <v/>
      </c>
      <c r="BS46" s="40">
        <f>IFERROR(IF(BR46^(1/3)&gt;=1,0.999,1-EXP(1-(1-BR46^(1/3))^(-0.7))),"")</f>
        <v/>
      </c>
      <c r="BT46" s="40">
        <f>1</f>
        <v/>
      </c>
      <c r="BU46" s="40">
        <f>IFERROR(EXP((BO46-0.372)/(0.372*(1-0.372))),"")</f>
        <v/>
      </c>
      <c r="BV46" s="40">
        <f>IFERROR(EXP((BP46-0.415)/(0.415*(1-0.415))),"")</f>
        <v/>
      </c>
      <c r="BW46" s="40">
        <f>IFERROR(EXP((BS46-0.405)/(0.405*(1-0.405))),"")</f>
        <v/>
      </c>
      <c r="BX46" s="40">
        <f>IFERROR(BT46*BU46*BV46*BW46,"")</f>
        <v/>
      </c>
      <c r="BY46" s="40">
        <f>IFERROR(BX46/(1+BX46),"")</f>
        <v/>
      </c>
      <c r="BZ46" s="40">
        <f>IFERROR(EXP(0.15*(SQRT(BH46)-0.5)/(0.5*0.5)),"")</f>
        <v/>
      </c>
      <c r="CA46" s="40">
        <f>IFERROR(IF(BY46&gt;=1,1E9,BY46/(1-BY46)*BZ46),"")</f>
        <v/>
      </c>
      <c r="CB46" s="40">
        <f>IFERROR(CA46/(1+CA46),"")</f>
        <v/>
      </c>
      <c r="CC46" s="42">
        <f>BH46</f>
        <v/>
      </c>
      <c r="CD46" s="42">
        <f>BN46</f>
        <v/>
      </c>
      <c r="CE46" s="42">
        <f>CB46</f>
        <v/>
      </c>
      <c r="CF46" s="43" t="inlineStr">
        <is>
          <t>True but complex. French fading in schools too. Somewhat emotional.</t>
        </is>
      </c>
    </row>
    <row r="47" ht="40" customHeight="1">
      <c r="A47" s="46" t="n">
        <v>45</v>
      </c>
      <c r="B47" s="47" t="inlineStr">
        <is>
          <t>Girls in Morocco drop out of school at higher rates than boys in rural areas.</t>
        </is>
      </c>
      <c r="C47" s="46" t="inlineStr">
        <is>
          <t>Education</t>
        </is>
      </c>
      <c r="D47" s="39" t="n">
        <v>0.85</v>
      </c>
      <c r="E47" s="39" t="n">
        <v>0.85</v>
      </c>
      <c r="F47" s="39" t="n">
        <v>0.82</v>
      </c>
      <c r="G47" s="39" t="n">
        <v>0.85</v>
      </c>
      <c r="H47" s="40">
        <f>IFERROR(AVERAGE(D47,E47,F47,G47),"")</f>
        <v/>
      </c>
      <c r="I47" s="39" t="n">
        <v>0.72</v>
      </c>
      <c r="J47" s="39" t="n">
        <v>0.68</v>
      </c>
      <c r="K47" s="39" t="n">
        <v>0.7</v>
      </c>
      <c r="L47" s="39" t="n">
        <v>0.65</v>
      </c>
      <c r="M47" s="40">
        <f>IFERROR(AVERAGE(I47,J47,K47,L47),"")</f>
        <v/>
      </c>
      <c r="N47" s="39" t="n">
        <v>0.6</v>
      </c>
      <c r="O47" s="39" t="n">
        <v>0.72</v>
      </c>
      <c r="P47" s="40">
        <f>IFERROR(IF(H47=0,0,H47^(H47^(-0.5)))*SQRT(M47)*((4*N47+O47)/5),"")</f>
        <v/>
      </c>
      <c r="Q47" s="39" t="n">
        <v>0.38</v>
      </c>
      <c r="R47" s="39" t="n">
        <v>0.88</v>
      </c>
      <c r="S47" s="39" t="n">
        <v>0.88</v>
      </c>
      <c r="T47" s="39" t="n">
        <v>0.8</v>
      </c>
      <c r="U47" s="40">
        <f>IFERROR(((Q47^1.4+T47)/2)*R47*(1-EXP(-4.605*S47)),"")</f>
        <v/>
      </c>
      <c r="V47" s="39" t="n">
        <v>0.62</v>
      </c>
      <c r="W47" s="39" t="n">
        <v>0.68</v>
      </c>
      <c r="X47" s="39" t="n">
        <v>0.6</v>
      </c>
      <c r="Y47" s="39" t="n">
        <v>0.68</v>
      </c>
      <c r="Z47" s="39" t="n">
        <v>0.48</v>
      </c>
      <c r="AA47" s="39" t="n">
        <v>0.68</v>
      </c>
      <c r="AB47" s="40">
        <f>IFERROR(Z47*(Y47*AA47^1.1)^1.1*((3*V47+2*W47+X47)/6)^0.5,"")</f>
        <v/>
      </c>
      <c r="AC47" s="40">
        <f>IFERROR(SQRT(AB47),"")</f>
        <v/>
      </c>
      <c r="AD47" s="39" t="n">
        <v>0.62</v>
      </c>
      <c r="AE47" s="39" t="n">
        <v>0.45</v>
      </c>
      <c r="AF47" s="40">
        <f>IFERROR(AE47*(1-AE47*H47),"")</f>
        <v/>
      </c>
      <c r="AG47" s="39" t="n">
        <v>0.6</v>
      </c>
      <c r="AH47" s="39" t="n">
        <v>0.78</v>
      </c>
      <c r="AI47" s="39" t="n">
        <v>0.7</v>
      </c>
      <c r="AJ47" s="40">
        <f>IFERROR(AH47^2.1*AG47^0.2*(2*AF47+3*AI47+AD47)/6,"")</f>
        <v/>
      </c>
      <c r="AK47" s="40">
        <f>IFERROR(SQRT(AJ47),"")</f>
        <v/>
      </c>
      <c r="AL47" s="39" t="n">
        <v>0.4</v>
      </c>
      <c r="AM47" s="40">
        <f>IFERROR(1-EXP(-AL47),"")</f>
        <v/>
      </c>
      <c r="AN47" s="40">
        <f>IFERROR(4.18*AM47^0.7*(1-AM47)^1.5,"")</f>
        <v/>
      </c>
      <c r="AO47" s="39" t="n">
        <v>0.7</v>
      </c>
      <c r="AP47" s="39" t="n">
        <v>0.5</v>
      </c>
      <c r="AQ47" s="39" t="n">
        <v>0.58</v>
      </c>
      <c r="AR47" s="39" t="n">
        <v>0.68</v>
      </c>
      <c r="AS47" s="40">
        <f>IFERROR(AN47^(1-AO47)*AP47*(4*AQ47*(1-AQ47))*AR47^1.15,"")</f>
        <v/>
      </c>
      <c r="AT47" s="40">
        <f>IFERROR(AS47^(1/3),"")</f>
        <v/>
      </c>
      <c r="AU47" s="39" t="n">
        <v>2</v>
      </c>
      <c r="AV47" s="39" t="n">
        <v>3</v>
      </c>
      <c r="AW47" s="40">
        <f>IFERROR(IF(AV47&lt;=1,AU47,AU47*(1+(AV47-1)*0.6)),"")</f>
        <v/>
      </c>
      <c r="AX47" s="39" t="n">
        <v>0.9</v>
      </c>
      <c r="AY47" s="39" t="n">
        <v>0.48</v>
      </c>
      <c r="AZ47" s="41" t="n">
        <v>0.5</v>
      </c>
      <c r="BA47" s="40">
        <f>IFERROR(AZ47/(1-AZ47),"")</f>
        <v/>
      </c>
      <c r="BB47" s="40">
        <f>IFERROR(EXP((P47-0.301)/(0.301*(1-0.301))),"")</f>
        <v/>
      </c>
      <c r="BC47" s="40">
        <f>IFERROR(EXP((U47-0.354)/(0.354*(1-0.354))),"")</f>
        <v/>
      </c>
      <c r="BD47" s="40">
        <f>IFERROR(AW47,"")</f>
        <v/>
      </c>
      <c r="BE47" s="40">
        <f>IFERROR(EXP((AX47-0.75)/(0.75*(1-0.75))),"")</f>
        <v/>
      </c>
      <c r="BF47" s="40">
        <f>IFERROR(EXP((AY47-0.5)/(0.5*(1-0.5))),"")</f>
        <v/>
      </c>
      <c r="BG47" s="40">
        <f>IFERROR(BA47*BB47*BC47*BD47*BE47*BF47,"")</f>
        <v/>
      </c>
      <c r="BH47" s="40">
        <f>IFERROR(BG47/(1+BG47),"")</f>
        <v/>
      </c>
      <c r="BI47" s="40">
        <f>IFERROR(IF(BH47&gt;=1,1E9,BH47/(1-BH47)),"")</f>
        <v/>
      </c>
      <c r="BJ47" s="40">
        <f>IFERROR(EXP((AC47-0.372)/(0.372*(1-0.372))),"")</f>
        <v/>
      </c>
      <c r="BK47" s="40">
        <f>IFERROR(EXP((AK47-0.415)/(0.415*(1-0.415))),"")</f>
        <v/>
      </c>
      <c r="BL47" s="40">
        <f>IFERROR(EXP((AT47-0.405)/(0.405*(1-0.405))),"")</f>
        <v/>
      </c>
      <c r="BM47" s="40">
        <f>IFERROR(BI47*BJ47*BK47*BL47,"")</f>
        <v/>
      </c>
      <c r="BN47" s="40">
        <f>IFERROR(BM47/(1+BM47),"")</f>
        <v/>
      </c>
      <c r="BO47" s="40">
        <f>IFERROR(IF(AC47&gt;=1,0.999,1-EXP(1-(1-AC47)^(-0.8))),"")</f>
        <v/>
      </c>
      <c r="BP47" s="40">
        <f>IFERROR(IF(AK47&gt;=1,0.999,1-EXP(1-(1-AK47)^(-0.75))),"")</f>
        <v/>
      </c>
      <c r="BQ47" s="40">
        <f>IFERROR(1-EXP(-AL47*(1+AL47)),"")</f>
        <v/>
      </c>
      <c r="BR47" s="40">
        <f>IFERROR(BQ47^(1-AO47)*AP47*(4*AQ47*(1-AQ47))*AR47^1.15,"")</f>
        <v/>
      </c>
      <c r="BS47" s="40">
        <f>IFERROR(IF(BR47^(1/3)&gt;=1,0.999,1-EXP(1-(1-BR47^(1/3))^(-0.7))),"")</f>
        <v/>
      </c>
      <c r="BT47" s="40">
        <f>1</f>
        <v/>
      </c>
      <c r="BU47" s="40">
        <f>IFERROR(EXP((BO47-0.372)/(0.372*(1-0.372))),"")</f>
        <v/>
      </c>
      <c r="BV47" s="40">
        <f>IFERROR(EXP((BP47-0.415)/(0.415*(1-0.415))),"")</f>
        <v/>
      </c>
      <c r="BW47" s="40">
        <f>IFERROR(EXP((BS47-0.405)/(0.405*(1-0.405))),"")</f>
        <v/>
      </c>
      <c r="BX47" s="40">
        <f>IFERROR(BT47*BU47*BV47*BW47,"")</f>
        <v/>
      </c>
      <c r="BY47" s="40">
        <f>IFERROR(BX47/(1+BX47),"")</f>
        <v/>
      </c>
      <c r="BZ47" s="40">
        <f>IFERROR(EXP(0.15*(SQRT(BH47)-0.5)/(0.5*0.5)),"")</f>
        <v/>
      </c>
      <c r="CA47" s="40">
        <f>IFERROR(IF(BY47&gt;=1,1E9,BY47/(1-BY47)*BZ47),"")</f>
        <v/>
      </c>
      <c r="CB47" s="40">
        <f>IFERROR(CA47/(1+CA47),"")</f>
        <v/>
      </c>
      <c r="CC47" s="42">
        <f>BH47</f>
        <v/>
      </c>
      <c r="CD47" s="42">
        <f>BN47</f>
        <v/>
      </c>
      <c r="CE47" s="42">
        <f>CB47</f>
        <v/>
      </c>
      <c r="CF47" s="43" t="inlineStr">
        <is>
          <t>True. Well documented. Less personally salient for urban receiver.</t>
        </is>
      </c>
    </row>
    <row r="48" ht="40" customHeight="1">
      <c r="A48" s="46" t="n">
        <v>46</v>
      </c>
      <c r="B48" s="47" t="inlineStr">
        <is>
          <t>Moroccan public university lecture halls regularly hold far more students than they were built for.</t>
        </is>
      </c>
      <c r="C48" s="46" t="inlineStr">
        <is>
          <t>Education</t>
        </is>
      </c>
      <c r="D48" s="39" t="n">
        <v>0.88</v>
      </c>
      <c r="E48" s="39" t="n">
        <v>0.88</v>
      </c>
      <c r="F48" s="39" t="n">
        <v>0.85</v>
      </c>
      <c r="G48" s="39" t="n">
        <v>0.88</v>
      </c>
      <c r="H48" s="40">
        <f>IFERROR(AVERAGE(D48,E48,F48,G48),"")</f>
        <v/>
      </c>
      <c r="I48" s="39" t="n">
        <v>0.72</v>
      </c>
      <c r="J48" s="39" t="n">
        <v>0.68</v>
      </c>
      <c r="K48" s="39" t="n">
        <v>0.7</v>
      </c>
      <c r="L48" s="39" t="n">
        <v>0.65</v>
      </c>
      <c r="M48" s="40">
        <f>IFERROR(AVERAGE(I48,J48,K48,L48),"")</f>
        <v/>
      </c>
      <c r="N48" s="39" t="n">
        <v>0.6</v>
      </c>
      <c r="O48" s="39" t="n">
        <v>0.8</v>
      </c>
      <c r="P48" s="40">
        <f>IFERROR(IF(H48=0,0,H48^(H48^(-0.5)))*SQRT(M48)*((4*N48+O48)/5),"")</f>
        <v/>
      </c>
      <c r="Q48" s="39" t="n">
        <v>0.3</v>
      </c>
      <c r="R48" s="39" t="n">
        <v>0.92</v>
      </c>
      <c r="S48" s="39" t="n">
        <v>0.88</v>
      </c>
      <c r="T48" s="39" t="n">
        <v>0.82</v>
      </c>
      <c r="U48" s="40">
        <f>IFERROR(((Q48^1.4+T48)/2)*R48*(1-EXP(-4.605*S48)),"")</f>
        <v/>
      </c>
      <c r="V48" s="39" t="n">
        <v>0.65</v>
      </c>
      <c r="W48" s="39" t="n">
        <v>0.7</v>
      </c>
      <c r="X48" s="39" t="n">
        <v>0.6</v>
      </c>
      <c r="Y48" s="39" t="n">
        <v>0.7</v>
      </c>
      <c r="Z48" s="39" t="n">
        <v>0.48</v>
      </c>
      <c r="AA48" s="39" t="n">
        <v>0.72</v>
      </c>
      <c r="AB48" s="40">
        <f>IFERROR(Z48*(Y48*AA48^1.1)^1.1*((3*V48+2*W48+X48)/6)^0.5,"")</f>
        <v/>
      </c>
      <c r="AC48" s="40">
        <f>IFERROR(SQRT(AB48),"")</f>
        <v/>
      </c>
      <c r="AD48" s="39" t="n">
        <v>0.68</v>
      </c>
      <c r="AE48" s="39" t="n">
        <v>0.5</v>
      </c>
      <c r="AF48" s="40">
        <f>IFERROR(AE48*(1-AE48*H48),"")</f>
        <v/>
      </c>
      <c r="AG48" s="39" t="n">
        <v>0.65</v>
      </c>
      <c r="AH48" s="39" t="n">
        <v>0.82</v>
      </c>
      <c r="AI48" s="39" t="n">
        <v>0.75</v>
      </c>
      <c r="AJ48" s="40">
        <f>IFERROR(AH48^2.1*AG48^0.2*(2*AF48+3*AI48+AD48)/6,"")</f>
        <v/>
      </c>
      <c r="AK48" s="40">
        <f>IFERROR(SQRT(AJ48),"")</f>
        <v/>
      </c>
      <c r="AL48" s="39" t="n">
        <v>0.2</v>
      </c>
      <c r="AM48" s="40">
        <f>IFERROR(1-EXP(-AL48),"")</f>
        <v/>
      </c>
      <c r="AN48" s="40">
        <f>IFERROR(4.18*AM48^0.7*(1-AM48)^1.5,"")</f>
        <v/>
      </c>
      <c r="AO48" s="39" t="n">
        <v>0.72</v>
      </c>
      <c r="AP48" s="39" t="n">
        <v>0.52</v>
      </c>
      <c r="AQ48" s="39" t="n">
        <v>0.62</v>
      </c>
      <c r="AR48" s="39" t="n">
        <v>0.82</v>
      </c>
      <c r="AS48" s="40">
        <f>IFERROR(AN48^(1-AO48)*AP48*(4*AQ48*(1-AQ48))*AR48^1.15,"")</f>
        <v/>
      </c>
      <c r="AT48" s="40">
        <f>IFERROR(AS48^(1/3),"")</f>
        <v/>
      </c>
      <c r="AU48" s="39" t="n">
        <v>1.8</v>
      </c>
      <c r="AV48" s="39" t="n">
        <v>3</v>
      </c>
      <c r="AW48" s="40">
        <f>IFERROR(IF(AV48&lt;=1,AU48,AU48*(1+(AV48-1)*0.6)),"")</f>
        <v/>
      </c>
      <c r="AX48" s="39" t="n">
        <v>0.9</v>
      </c>
      <c r="AY48" s="39" t="n">
        <v>0.45</v>
      </c>
      <c r="AZ48" s="41" t="n">
        <v>0.5</v>
      </c>
      <c r="BA48" s="40">
        <f>IFERROR(AZ48/(1-AZ48),"")</f>
        <v/>
      </c>
      <c r="BB48" s="40">
        <f>IFERROR(EXP((P48-0.301)/(0.301*(1-0.301))),"")</f>
        <v/>
      </c>
      <c r="BC48" s="40">
        <f>IFERROR(EXP((U48-0.354)/(0.354*(1-0.354))),"")</f>
        <v/>
      </c>
      <c r="BD48" s="40">
        <f>IFERROR(AW48,"")</f>
        <v/>
      </c>
      <c r="BE48" s="40">
        <f>IFERROR(EXP((AX48-0.75)/(0.75*(1-0.75))),"")</f>
        <v/>
      </c>
      <c r="BF48" s="40">
        <f>IFERROR(EXP((AY48-0.5)/(0.5*(1-0.5))),"")</f>
        <v/>
      </c>
      <c r="BG48" s="40">
        <f>IFERROR(BA48*BB48*BC48*BD48*BE48*BF48,"")</f>
        <v/>
      </c>
      <c r="BH48" s="40">
        <f>IFERROR(BG48/(1+BG48),"")</f>
        <v/>
      </c>
      <c r="BI48" s="40">
        <f>IFERROR(IF(BH48&gt;=1,1E9,BH48/(1-BH48)),"")</f>
        <v/>
      </c>
      <c r="BJ48" s="40">
        <f>IFERROR(EXP((AC48-0.372)/(0.372*(1-0.372))),"")</f>
        <v/>
      </c>
      <c r="BK48" s="40">
        <f>IFERROR(EXP((AK48-0.415)/(0.415*(1-0.415))),"")</f>
        <v/>
      </c>
      <c r="BL48" s="40">
        <f>IFERROR(EXP((AT48-0.405)/(0.405*(1-0.405))),"")</f>
        <v/>
      </c>
      <c r="BM48" s="40">
        <f>IFERROR(BI48*BJ48*BK48*BL48,"")</f>
        <v/>
      </c>
      <c r="BN48" s="40">
        <f>IFERROR(BM48/(1+BM48),"")</f>
        <v/>
      </c>
      <c r="BO48" s="40">
        <f>IFERROR(IF(AC48&gt;=1,0.999,1-EXP(1-(1-AC48)^(-0.8))),"")</f>
        <v/>
      </c>
      <c r="BP48" s="40">
        <f>IFERROR(IF(AK48&gt;=1,0.999,1-EXP(1-(1-AK48)^(-0.75))),"")</f>
        <v/>
      </c>
      <c r="BQ48" s="40">
        <f>IFERROR(1-EXP(-AL48*(1+AL48)),"")</f>
        <v/>
      </c>
      <c r="BR48" s="40">
        <f>IFERROR(BQ48^(1-AO48)*AP48*(4*AQ48*(1-AQ48))*AR48^1.15,"")</f>
        <v/>
      </c>
      <c r="BS48" s="40">
        <f>IFERROR(IF(BR48^(1/3)&gt;=1,0.999,1-EXP(1-(1-BR48^(1/3))^(-0.7))),"")</f>
        <v/>
      </c>
      <c r="BT48" s="40">
        <f>1</f>
        <v/>
      </c>
      <c r="BU48" s="40">
        <f>IFERROR(EXP((BO48-0.372)/(0.372*(1-0.372))),"")</f>
        <v/>
      </c>
      <c r="BV48" s="40">
        <f>IFERROR(EXP((BP48-0.415)/(0.415*(1-0.415))),"")</f>
        <v/>
      </c>
      <c r="BW48" s="40">
        <f>IFERROR(EXP((BS48-0.405)/(0.405*(1-0.405))),"")</f>
        <v/>
      </c>
      <c r="BX48" s="40">
        <f>IFERROR(BT48*BU48*BV48*BW48,"")</f>
        <v/>
      </c>
      <c r="BY48" s="40">
        <f>IFERROR(BX48/(1+BX48),"")</f>
        <v/>
      </c>
      <c r="BZ48" s="40">
        <f>IFERROR(EXP(0.15*(SQRT(BH48)-0.5)/(0.5*0.5)),"")</f>
        <v/>
      </c>
      <c r="CA48" s="40">
        <f>IFERROR(IF(BY48&gt;=1,1E9,BY48/(1-BY48)*BZ48),"")</f>
        <v/>
      </c>
      <c r="CB48" s="40">
        <f>IFERROR(CA48/(1+CA48),"")</f>
        <v/>
      </c>
      <c r="CC48" s="42">
        <f>BH48</f>
        <v/>
      </c>
      <c r="CD48" s="42">
        <f>BN48</f>
        <v/>
      </c>
      <c r="CE48" s="42">
        <f>CB48</f>
        <v/>
      </c>
      <c r="CF48" s="43" t="inlineStr">
        <is>
          <t>Very widely known. Many have experienced this personally.</t>
        </is>
      </c>
    </row>
    <row r="49" ht="40" customHeight="1">
      <c r="A49" s="46" t="n">
        <v>47</v>
      </c>
      <c r="B49" s="47" t="inlineStr">
        <is>
          <t>A Moroccan licence degree (undergraduate) no longer provides a meaningful employment advantage on its own.</t>
        </is>
      </c>
      <c r="C49" s="46" t="inlineStr">
        <is>
          <t>Education</t>
        </is>
      </c>
      <c r="D49" s="39" t="n">
        <v>0.88</v>
      </c>
      <c r="E49" s="39" t="n">
        <v>0.88</v>
      </c>
      <c r="F49" s="39" t="n">
        <v>0.85</v>
      </c>
      <c r="G49" s="39" t="n">
        <v>0.88</v>
      </c>
      <c r="H49" s="40">
        <f>IFERROR(AVERAGE(D49,E49,F49,G49),"")</f>
        <v/>
      </c>
      <c r="I49" s="39" t="n">
        <v>0.72</v>
      </c>
      <c r="J49" s="39" t="n">
        <v>0.68</v>
      </c>
      <c r="K49" s="39" t="n">
        <v>0.7</v>
      </c>
      <c r="L49" s="39" t="n">
        <v>0.65</v>
      </c>
      <c r="M49" s="40">
        <f>IFERROR(AVERAGE(I49,J49,K49,L49),"")</f>
        <v/>
      </c>
      <c r="N49" s="39" t="n">
        <v>0.6</v>
      </c>
      <c r="O49" s="39" t="n">
        <v>0.8</v>
      </c>
      <c r="P49" s="40">
        <f>IFERROR(IF(H49=0,0,H49^(H49^(-0.5)))*SQRT(M49)*((4*N49+O49)/5),"")</f>
        <v/>
      </c>
      <c r="Q49" s="39" t="n">
        <v>0.38</v>
      </c>
      <c r="R49" s="39" t="n">
        <v>0.88</v>
      </c>
      <c r="S49" s="39" t="n">
        <v>0.85</v>
      </c>
      <c r="T49" s="39" t="n">
        <v>0.82</v>
      </c>
      <c r="U49" s="40">
        <f>IFERROR(((Q49^1.4+T49)/2)*R49*(1-EXP(-4.605*S49)),"")</f>
        <v/>
      </c>
      <c r="V49" s="39" t="n">
        <v>0.65</v>
      </c>
      <c r="W49" s="39" t="n">
        <v>0.7</v>
      </c>
      <c r="X49" s="39" t="n">
        <v>0.6</v>
      </c>
      <c r="Y49" s="39" t="n">
        <v>0.7</v>
      </c>
      <c r="Z49" s="39" t="n">
        <v>0.48</v>
      </c>
      <c r="AA49" s="39" t="n">
        <v>0.72</v>
      </c>
      <c r="AB49" s="40">
        <f>IFERROR(Z49*(Y49*AA49^1.1)^1.1*((3*V49+2*W49+X49)/6)^0.5,"")</f>
        <v/>
      </c>
      <c r="AC49" s="40">
        <f>IFERROR(SQRT(AB49),"")</f>
        <v/>
      </c>
      <c r="AD49" s="39" t="n">
        <v>0.68</v>
      </c>
      <c r="AE49" s="39" t="n">
        <v>0.5</v>
      </c>
      <c r="AF49" s="40">
        <f>IFERROR(AE49*(1-AE49*H49),"")</f>
        <v/>
      </c>
      <c r="AG49" s="39" t="n">
        <v>0.65</v>
      </c>
      <c r="AH49" s="39" t="n">
        <v>0.8</v>
      </c>
      <c r="AI49" s="39" t="n">
        <v>0.75</v>
      </c>
      <c r="AJ49" s="40">
        <f>IFERROR(AH49^2.1*AG49^0.2*(2*AF49+3*AI49+AD49)/6,"")</f>
        <v/>
      </c>
      <c r="AK49" s="40">
        <f>IFERROR(SQRT(AJ49),"")</f>
        <v/>
      </c>
      <c r="AL49" s="39" t="n">
        <v>0.25</v>
      </c>
      <c r="AM49" s="40">
        <f>IFERROR(1-EXP(-AL49),"")</f>
        <v/>
      </c>
      <c r="AN49" s="40">
        <f>IFERROR(4.18*AM49^0.7*(1-AM49)^1.5,"")</f>
        <v/>
      </c>
      <c r="AO49" s="39" t="n">
        <v>0.72</v>
      </c>
      <c r="AP49" s="39" t="n">
        <v>0.52</v>
      </c>
      <c r="AQ49" s="39" t="n">
        <v>0.62</v>
      </c>
      <c r="AR49" s="39" t="n">
        <v>0.85</v>
      </c>
      <c r="AS49" s="40">
        <f>IFERROR(AN49^(1-AO49)*AP49*(4*AQ49*(1-AQ49))*AR49^1.15,"")</f>
        <v/>
      </c>
      <c r="AT49" s="40">
        <f>IFERROR(AS49^(1/3),"")</f>
        <v/>
      </c>
      <c r="AU49" s="39" t="n">
        <v>1.7</v>
      </c>
      <c r="AV49" s="39" t="n">
        <v>2</v>
      </c>
      <c r="AW49" s="40">
        <f>IFERROR(IF(AV49&lt;=1,AU49,AU49*(1+(AV49-1)*0.6)),"")</f>
        <v/>
      </c>
      <c r="AX49" s="39" t="n">
        <v>0.88</v>
      </c>
      <c r="AY49" s="39" t="n">
        <v>0.42</v>
      </c>
      <c r="AZ49" s="41" t="n">
        <v>0.5</v>
      </c>
      <c r="BA49" s="40">
        <f>IFERROR(AZ49/(1-AZ49),"")</f>
        <v/>
      </c>
      <c r="BB49" s="40">
        <f>IFERROR(EXP((P49-0.301)/(0.301*(1-0.301))),"")</f>
        <v/>
      </c>
      <c r="BC49" s="40">
        <f>IFERROR(EXP((U49-0.354)/(0.354*(1-0.354))),"")</f>
        <v/>
      </c>
      <c r="BD49" s="40">
        <f>IFERROR(AW49,"")</f>
        <v/>
      </c>
      <c r="BE49" s="40">
        <f>IFERROR(EXP((AX49-0.75)/(0.75*(1-0.75))),"")</f>
        <v/>
      </c>
      <c r="BF49" s="40">
        <f>IFERROR(EXP((AY49-0.5)/(0.5*(1-0.5))),"")</f>
        <v/>
      </c>
      <c r="BG49" s="40">
        <f>IFERROR(BA49*BB49*BC49*BD49*BE49*BF49,"")</f>
        <v/>
      </c>
      <c r="BH49" s="40">
        <f>IFERROR(BG49/(1+BG49),"")</f>
        <v/>
      </c>
      <c r="BI49" s="40">
        <f>IFERROR(IF(BH49&gt;=1,1E9,BH49/(1-BH49)),"")</f>
        <v/>
      </c>
      <c r="BJ49" s="40">
        <f>IFERROR(EXP((AC49-0.372)/(0.372*(1-0.372))),"")</f>
        <v/>
      </c>
      <c r="BK49" s="40">
        <f>IFERROR(EXP((AK49-0.415)/(0.415*(1-0.415))),"")</f>
        <v/>
      </c>
      <c r="BL49" s="40">
        <f>IFERROR(EXP((AT49-0.405)/(0.405*(1-0.405))),"")</f>
        <v/>
      </c>
      <c r="BM49" s="40">
        <f>IFERROR(BI49*BJ49*BK49*BL49,"")</f>
        <v/>
      </c>
      <c r="BN49" s="40">
        <f>IFERROR(BM49/(1+BM49),"")</f>
        <v/>
      </c>
      <c r="BO49" s="40">
        <f>IFERROR(IF(AC49&gt;=1,0.999,1-EXP(1-(1-AC49)^(-0.8))),"")</f>
        <v/>
      </c>
      <c r="BP49" s="40">
        <f>IFERROR(IF(AK49&gt;=1,0.999,1-EXP(1-(1-AK49)^(-0.75))),"")</f>
        <v/>
      </c>
      <c r="BQ49" s="40">
        <f>IFERROR(1-EXP(-AL49*(1+AL49)),"")</f>
        <v/>
      </c>
      <c r="BR49" s="40">
        <f>IFERROR(BQ49^(1-AO49)*AP49*(4*AQ49*(1-AQ49))*AR49^1.15,"")</f>
        <v/>
      </c>
      <c r="BS49" s="40">
        <f>IFERROR(IF(BR49^(1/3)&gt;=1,0.999,1-EXP(1-(1-BR49^(1/3))^(-0.7))),"")</f>
        <v/>
      </c>
      <c r="BT49" s="40">
        <f>1</f>
        <v/>
      </c>
      <c r="BU49" s="40">
        <f>IFERROR(EXP((BO49-0.372)/(0.372*(1-0.372))),"")</f>
        <v/>
      </c>
      <c r="BV49" s="40">
        <f>IFERROR(EXP((BP49-0.415)/(0.415*(1-0.415))),"")</f>
        <v/>
      </c>
      <c r="BW49" s="40">
        <f>IFERROR(EXP((BS49-0.405)/(0.405*(1-0.405))),"")</f>
        <v/>
      </c>
      <c r="BX49" s="40">
        <f>IFERROR(BT49*BU49*BV49*BW49,"")</f>
        <v/>
      </c>
      <c r="BY49" s="40">
        <f>IFERROR(BX49/(1+BX49),"")</f>
        <v/>
      </c>
      <c r="BZ49" s="40">
        <f>IFERROR(EXP(0.15*(SQRT(BH49)-0.5)/(0.5*0.5)),"")</f>
        <v/>
      </c>
      <c r="CA49" s="40">
        <f>IFERROR(IF(BY49&gt;=1,1E9,BY49/(1-BY49)*BZ49),"")</f>
        <v/>
      </c>
      <c r="CB49" s="40">
        <f>IFERROR(CA49/(1+CA49),"")</f>
        <v/>
      </c>
      <c r="CC49" s="42">
        <f>BH49</f>
        <v/>
      </c>
      <c r="CD49" s="42">
        <f>BN49</f>
        <v/>
      </c>
      <c r="CE49" s="42">
        <f>CB49</f>
        <v/>
      </c>
      <c r="CF49" s="43" t="inlineStr">
        <is>
          <t>Widely felt. Receiver directly in this situation.</t>
        </is>
      </c>
    </row>
    <row r="50" ht="40" customHeight="1">
      <c r="A50" s="46" t="n">
        <v>48</v>
      </c>
      <c r="B50" s="47" t="inlineStr">
        <is>
          <t>Student housing (cités universitaires) is so scarce that many students commute long hours daily or rent rooms they cannot afford.</t>
        </is>
      </c>
      <c r="C50" s="46" t="inlineStr">
        <is>
          <t>Education</t>
        </is>
      </c>
      <c r="D50" s="39" t="n">
        <v>0.88</v>
      </c>
      <c r="E50" s="39" t="n">
        <v>0.88</v>
      </c>
      <c r="F50" s="39" t="n">
        <v>0.85</v>
      </c>
      <c r="G50" s="39" t="n">
        <v>0.88</v>
      </c>
      <c r="H50" s="40">
        <f>IFERROR(AVERAGE(D50,E50,F50,G50),"")</f>
        <v/>
      </c>
      <c r="I50" s="39" t="n">
        <v>0.72</v>
      </c>
      <c r="J50" s="39" t="n">
        <v>0.68</v>
      </c>
      <c r="K50" s="39" t="n">
        <v>0.7</v>
      </c>
      <c r="L50" s="39" t="n">
        <v>0.65</v>
      </c>
      <c r="M50" s="40">
        <f>IFERROR(AVERAGE(I50,J50,K50,L50),"")</f>
        <v/>
      </c>
      <c r="N50" s="39" t="n">
        <v>0.6</v>
      </c>
      <c r="O50" s="39" t="n">
        <v>0.78</v>
      </c>
      <c r="P50" s="40">
        <f>IFERROR(IF(H50=0,0,H50^(H50^(-0.5)))*SQRT(M50)*((4*N50+O50)/5),"")</f>
        <v/>
      </c>
      <c r="Q50" s="39" t="n">
        <v>0.32</v>
      </c>
      <c r="R50" s="39" t="n">
        <v>0.9</v>
      </c>
      <c r="S50" s="39" t="n">
        <v>0.88</v>
      </c>
      <c r="T50" s="39" t="n">
        <v>0.82</v>
      </c>
      <c r="U50" s="40">
        <f>IFERROR(((Q50^1.4+T50)/2)*R50*(1-EXP(-4.605*S50)),"")</f>
        <v/>
      </c>
      <c r="V50" s="39" t="n">
        <v>0.65</v>
      </c>
      <c r="W50" s="39" t="n">
        <v>0.7</v>
      </c>
      <c r="X50" s="39" t="n">
        <v>0.6</v>
      </c>
      <c r="Y50" s="39" t="n">
        <v>0.7</v>
      </c>
      <c r="Z50" s="39" t="n">
        <v>0.48</v>
      </c>
      <c r="AA50" s="39" t="n">
        <v>0.7</v>
      </c>
      <c r="AB50" s="40">
        <f>IFERROR(Z50*(Y50*AA50^1.1)^1.1*((3*V50+2*W50+X50)/6)^0.5,"")</f>
        <v/>
      </c>
      <c r="AC50" s="40">
        <f>IFERROR(SQRT(AB50),"")</f>
        <v/>
      </c>
      <c r="AD50" s="39" t="n">
        <v>0.65</v>
      </c>
      <c r="AE50" s="39" t="n">
        <v>0.48</v>
      </c>
      <c r="AF50" s="40">
        <f>IFERROR(AE50*(1-AE50*H50),"")</f>
        <v/>
      </c>
      <c r="AG50" s="39" t="n">
        <v>0.62</v>
      </c>
      <c r="AH50" s="39" t="n">
        <v>0.8</v>
      </c>
      <c r="AI50" s="39" t="n">
        <v>0.72</v>
      </c>
      <c r="AJ50" s="40">
        <f>IFERROR(AH50^2.1*AG50^0.2*(2*AF50+3*AI50+AD50)/6,"")</f>
        <v/>
      </c>
      <c r="AK50" s="40">
        <f>IFERROR(SQRT(AJ50),"")</f>
        <v/>
      </c>
      <c r="AL50" s="39" t="n">
        <v>0.25</v>
      </c>
      <c r="AM50" s="40">
        <f>IFERROR(1-EXP(-AL50),"")</f>
        <v/>
      </c>
      <c r="AN50" s="40">
        <f>IFERROR(4.18*AM50^0.7*(1-AM50)^1.5,"")</f>
        <v/>
      </c>
      <c r="AO50" s="39" t="n">
        <v>0.72</v>
      </c>
      <c r="AP50" s="39" t="n">
        <v>0.52</v>
      </c>
      <c r="AQ50" s="39" t="n">
        <v>0.6</v>
      </c>
      <c r="AR50" s="39" t="n">
        <v>0.8</v>
      </c>
      <c r="AS50" s="40">
        <f>IFERROR(AN50^(1-AO50)*AP50*(4*AQ50*(1-AQ50))*AR50^1.15,"")</f>
        <v/>
      </c>
      <c r="AT50" s="40">
        <f>IFERROR(AS50^(1/3),"")</f>
        <v/>
      </c>
      <c r="AU50" s="39" t="n">
        <v>1.6</v>
      </c>
      <c r="AV50" s="39" t="n">
        <v>2</v>
      </c>
      <c r="AW50" s="40">
        <f>IFERROR(IF(AV50&lt;=1,AU50,AU50*(1+(AV50-1)*0.6)),"")</f>
        <v/>
      </c>
      <c r="AX50" s="39" t="n">
        <v>0.88</v>
      </c>
      <c r="AY50" s="39" t="n">
        <v>0.42</v>
      </c>
      <c r="AZ50" s="41" t="n">
        <v>0.5</v>
      </c>
      <c r="BA50" s="40">
        <f>IFERROR(AZ50/(1-AZ50),"")</f>
        <v/>
      </c>
      <c r="BB50" s="40">
        <f>IFERROR(EXP((P50-0.301)/(0.301*(1-0.301))),"")</f>
        <v/>
      </c>
      <c r="BC50" s="40">
        <f>IFERROR(EXP((U50-0.354)/(0.354*(1-0.354))),"")</f>
        <v/>
      </c>
      <c r="BD50" s="40">
        <f>IFERROR(AW50,"")</f>
        <v/>
      </c>
      <c r="BE50" s="40">
        <f>IFERROR(EXP((AX50-0.75)/(0.75*(1-0.75))),"")</f>
        <v/>
      </c>
      <c r="BF50" s="40">
        <f>IFERROR(EXP((AY50-0.5)/(0.5*(1-0.5))),"")</f>
        <v/>
      </c>
      <c r="BG50" s="40">
        <f>IFERROR(BA50*BB50*BC50*BD50*BE50*BF50,"")</f>
        <v/>
      </c>
      <c r="BH50" s="40">
        <f>IFERROR(BG50/(1+BG50),"")</f>
        <v/>
      </c>
      <c r="BI50" s="40">
        <f>IFERROR(IF(BH50&gt;=1,1E9,BH50/(1-BH50)),"")</f>
        <v/>
      </c>
      <c r="BJ50" s="40">
        <f>IFERROR(EXP((AC50-0.372)/(0.372*(1-0.372))),"")</f>
        <v/>
      </c>
      <c r="BK50" s="40">
        <f>IFERROR(EXP((AK50-0.415)/(0.415*(1-0.415))),"")</f>
        <v/>
      </c>
      <c r="BL50" s="40">
        <f>IFERROR(EXP((AT50-0.405)/(0.405*(1-0.405))),"")</f>
        <v/>
      </c>
      <c r="BM50" s="40">
        <f>IFERROR(BI50*BJ50*BK50*BL50,"")</f>
        <v/>
      </c>
      <c r="BN50" s="40">
        <f>IFERROR(BM50/(1+BM50),"")</f>
        <v/>
      </c>
      <c r="BO50" s="40">
        <f>IFERROR(IF(AC50&gt;=1,0.999,1-EXP(1-(1-AC50)^(-0.8))),"")</f>
        <v/>
      </c>
      <c r="BP50" s="40">
        <f>IFERROR(IF(AK50&gt;=1,0.999,1-EXP(1-(1-AK50)^(-0.75))),"")</f>
        <v/>
      </c>
      <c r="BQ50" s="40">
        <f>IFERROR(1-EXP(-AL50*(1+AL50)),"")</f>
        <v/>
      </c>
      <c r="BR50" s="40">
        <f>IFERROR(BQ50^(1-AO50)*AP50*(4*AQ50*(1-AQ50))*AR50^1.15,"")</f>
        <v/>
      </c>
      <c r="BS50" s="40">
        <f>IFERROR(IF(BR50^(1/3)&gt;=1,0.999,1-EXP(1-(1-BR50^(1/3))^(-0.7))),"")</f>
        <v/>
      </c>
      <c r="BT50" s="40">
        <f>1</f>
        <v/>
      </c>
      <c r="BU50" s="40">
        <f>IFERROR(EXP((BO50-0.372)/(0.372*(1-0.372))),"")</f>
        <v/>
      </c>
      <c r="BV50" s="40">
        <f>IFERROR(EXP((BP50-0.415)/(0.415*(1-0.415))),"")</f>
        <v/>
      </c>
      <c r="BW50" s="40">
        <f>IFERROR(EXP((BS50-0.405)/(0.405*(1-0.405))),"")</f>
        <v/>
      </c>
      <c r="BX50" s="40">
        <f>IFERROR(BT50*BU50*BV50*BW50,"")</f>
        <v/>
      </c>
      <c r="BY50" s="40">
        <f>IFERROR(BX50/(1+BX50),"")</f>
        <v/>
      </c>
      <c r="BZ50" s="40">
        <f>IFERROR(EXP(0.15*(SQRT(BH50)-0.5)/(0.5*0.5)),"")</f>
        <v/>
      </c>
      <c r="CA50" s="40">
        <f>IFERROR(IF(BY50&gt;=1,1E9,BY50/(1-BY50)*BZ50),"")</f>
        <v/>
      </c>
      <c r="CB50" s="40">
        <f>IFERROR(CA50/(1+CA50),"")</f>
        <v/>
      </c>
      <c r="CC50" s="42">
        <f>BH50</f>
        <v/>
      </c>
      <c r="CD50" s="42">
        <f>BN50</f>
        <v/>
      </c>
      <c r="CE50" s="42">
        <f>CB50</f>
        <v/>
      </c>
      <c r="CF50" s="43" t="inlineStr">
        <is>
          <t>Widely known. Personally relevant to receiver's generation.</t>
        </is>
      </c>
    </row>
    <row r="51" ht="40" customHeight="1">
      <c r="A51" s="46" t="n">
        <v>49</v>
      </c>
      <c r="B51" s="47" t="inlineStr">
        <is>
          <t>The Moroccan economy does not produce enough diverse jobs to absorb its university graduates regardless of degree quality.</t>
        </is>
      </c>
      <c r="C51" s="46" t="inlineStr">
        <is>
          <t>Education</t>
        </is>
      </c>
      <c r="D51" s="39" t="n">
        <v>0.85</v>
      </c>
      <c r="E51" s="39" t="n">
        <v>0.85</v>
      </c>
      <c r="F51" s="39" t="n">
        <v>0.82</v>
      </c>
      <c r="G51" s="39" t="n">
        <v>0.85</v>
      </c>
      <c r="H51" s="40">
        <f>IFERROR(AVERAGE(D51,E51,F51,G51),"")</f>
        <v/>
      </c>
      <c r="I51" s="39" t="n">
        <v>0.7</v>
      </c>
      <c r="J51" s="39" t="n">
        <v>0.65</v>
      </c>
      <c r="K51" s="39" t="n">
        <v>0.68</v>
      </c>
      <c r="L51" s="39" t="n">
        <v>0.62</v>
      </c>
      <c r="M51" s="40">
        <f>IFERROR(AVERAGE(I51,J51,K51,L51),"")</f>
        <v/>
      </c>
      <c r="N51" s="39" t="n">
        <v>0.58</v>
      </c>
      <c r="O51" s="39" t="n">
        <v>0.75</v>
      </c>
      <c r="P51" s="40">
        <f>IFERROR(IF(H51=0,0,H51^(H51^(-0.5)))*SQRT(M51)*((4*N51+O51)/5),"")</f>
        <v/>
      </c>
      <c r="Q51" s="39" t="n">
        <v>0.4</v>
      </c>
      <c r="R51" s="39" t="n">
        <v>0.88</v>
      </c>
      <c r="S51" s="39" t="n">
        <v>0.85</v>
      </c>
      <c r="T51" s="39" t="n">
        <v>0.8</v>
      </c>
      <c r="U51" s="40">
        <f>IFERROR(((Q51^1.4+T51)/2)*R51*(1-EXP(-4.605*S51)),"")</f>
        <v/>
      </c>
      <c r="V51" s="39" t="n">
        <v>0.62</v>
      </c>
      <c r="W51" s="39" t="n">
        <v>0.68</v>
      </c>
      <c r="X51" s="39" t="n">
        <v>0.6</v>
      </c>
      <c r="Y51" s="39" t="n">
        <v>0.68</v>
      </c>
      <c r="Z51" s="39" t="n">
        <v>0.45</v>
      </c>
      <c r="AA51" s="39" t="n">
        <v>0.68</v>
      </c>
      <c r="AB51" s="40">
        <f>IFERROR(Z51*(Y51*AA51^1.1)^1.1*((3*V51+2*W51+X51)/6)^0.5,"")</f>
        <v/>
      </c>
      <c r="AC51" s="40">
        <f>IFERROR(SQRT(AB51),"")</f>
        <v/>
      </c>
      <c r="AD51" s="39" t="n">
        <v>0.65</v>
      </c>
      <c r="AE51" s="39" t="n">
        <v>0.48</v>
      </c>
      <c r="AF51" s="40">
        <f>IFERROR(AE51*(1-AE51*H51),"")</f>
        <v/>
      </c>
      <c r="AG51" s="39" t="n">
        <v>0.62</v>
      </c>
      <c r="AH51" s="39" t="n">
        <v>0.8</v>
      </c>
      <c r="AI51" s="39" t="n">
        <v>0.72</v>
      </c>
      <c r="AJ51" s="40">
        <f>IFERROR(AH51^2.1*AG51^0.2*(2*AF51+3*AI51+AD51)/6,"")</f>
        <v/>
      </c>
      <c r="AK51" s="40">
        <f>IFERROR(SQRT(AJ51),"")</f>
        <v/>
      </c>
      <c r="AL51" s="39" t="n">
        <v>0.3</v>
      </c>
      <c r="AM51" s="40">
        <f>IFERROR(1-EXP(-AL51),"")</f>
        <v/>
      </c>
      <c r="AN51" s="40">
        <f>IFERROR(4.18*AM51^0.7*(1-AM51)^1.5,"")</f>
        <v/>
      </c>
      <c r="AO51" s="39" t="n">
        <v>0.72</v>
      </c>
      <c r="AP51" s="39" t="n">
        <v>0.52</v>
      </c>
      <c r="AQ51" s="39" t="n">
        <v>0.62</v>
      </c>
      <c r="AR51" s="39" t="n">
        <v>0.85</v>
      </c>
      <c r="AS51" s="40">
        <f>IFERROR(AN51^(1-AO51)*AP51*(4*AQ51*(1-AQ51))*AR51^1.15,"")</f>
        <v/>
      </c>
      <c r="AT51" s="40">
        <f>IFERROR(AS51^(1/3),"")</f>
        <v/>
      </c>
      <c r="AU51" s="39" t="n">
        <v>1.6</v>
      </c>
      <c r="AV51" s="39" t="n">
        <v>2</v>
      </c>
      <c r="AW51" s="40">
        <f>IFERROR(IF(AV51&lt;=1,AU51,AU51*(1+(AV51-1)*0.6)),"")</f>
        <v/>
      </c>
      <c r="AX51" s="39" t="n">
        <v>0.85</v>
      </c>
      <c r="AY51" s="39" t="n">
        <v>0.38</v>
      </c>
      <c r="AZ51" s="41" t="n">
        <v>0.5</v>
      </c>
      <c r="BA51" s="40">
        <f>IFERROR(AZ51/(1-AZ51),"")</f>
        <v/>
      </c>
      <c r="BB51" s="40">
        <f>IFERROR(EXP((P51-0.301)/(0.301*(1-0.301))),"")</f>
        <v/>
      </c>
      <c r="BC51" s="40">
        <f>IFERROR(EXP((U51-0.354)/(0.354*(1-0.354))),"")</f>
        <v/>
      </c>
      <c r="BD51" s="40">
        <f>IFERROR(AW51,"")</f>
        <v/>
      </c>
      <c r="BE51" s="40">
        <f>IFERROR(EXP((AX51-0.75)/(0.75*(1-0.75))),"")</f>
        <v/>
      </c>
      <c r="BF51" s="40">
        <f>IFERROR(EXP((AY51-0.5)/(0.5*(1-0.5))),"")</f>
        <v/>
      </c>
      <c r="BG51" s="40">
        <f>IFERROR(BA51*BB51*BC51*BD51*BE51*BF51,"")</f>
        <v/>
      </c>
      <c r="BH51" s="40">
        <f>IFERROR(BG51/(1+BG51),"")</f>
        <v/>
      </c>
      <c r="BI51" s="40">
        <f>IFERROR(IF(BH51&gt;=1,1E9,BH51/(1-BH51)),"")</f>
        <v/>
      </c>
      <c r="BJ51" s="40">
        <f>IFERROR(EXP((AC51-0.372)/(0.372*(1-0.372))),"")</f>
        <v/>
      </c>
      <c r="BK51" s="40">
        <f>IFERROR(EXP((AK51-0.415)/(0.415*(1-0.415))),"")</f>
        <v/>
      </c>
      <c r="BL51" s="40">
        <f>IFERROR(EXP((AT51-0.405)/(0.405*(1-0.405))),"")</f>
        <v/>
      </c>
      <c r="BM51" s="40">
        <f>IFERROR(BI51*BJ51*BK51*BL51,"")</f>
        <v/>
      </c>
      <c r="BN51" s="40">
        <f>IFERROR(BM51/(1+BM51),"")</f>
        <v/>
      </c>
      <c r="BO51" s="40">
        <f>IFERROR(IF(AC51&gt;=1,0.999,1-EXP(1-(1-AC51)^(-0.8))),"")</f>
        <v/>
      </c>
      <c r="BP51" s="40">
        <f>IFERROR(IF(AK51&gt;=1,0.999,1-EXP(1-(1-AK51)^(-0.75))),"")</f>
        <v/>
      </c>
      <c r="BQ51" s="40">
        <f>IFERROR(1-EXP(-AL51*(1+AL51)),"")</f>
        <v/>
      </c>
      <c r="BR51" s="40">
        <f>IFERROR(BQ51^(1-AO51)*AP51*(4*AQ51*(1-AQ51))*AR51^1.15,"")</f>
        <v/>
      </c>
      <c r="BS51" s="40">
        <f>IFERROR(IF(BR51^(1/3)&gt;=1,0.999,1-EXP(1-(1-BR51^(1/3))^(-0.7))),"")</f>
        <v/>
      </c>
      <c r="BT51" s="40">
        <f>1</f>
        <v/>
      </c>
      <c r="BU51" s="40">
        <f>IFERROR(EXP((BO51-0.372)/(0.372*(1-0.372))),"")</f>
        <v/>
      </c>
      <c r="BV51" s="40">
        <f>IFERROR(EXP((BP51-0.415)/(0.415*(1-0.415))),"")</f>
        <v/>
      </c>
      <c r="BW51" s="40">
        <f>IFERROR(EXP((BS51-0.405)/(0.405*(1-0.405))),"")</f>
        <v/>
      </c>
      <c r="BX51" s="40">
        <f>IFERROR(BT51*BU51*BV51*BW51,"")</f>
        <v/>
      </c>
      <c r="BY51" s="40">
        <f>IFERROR(BX51/(1+BX51),"")</f>
        <v/>
      </c>
      <c r="BZ51" s="40">
        <f>IFERROR(EXP(0.15*(SQRT(BH51)-0.5)/(0.5*0.5)),"")</f>
        <v/>
      </c>
      <c r="CA51" s="40">
        <f>IFERROR(IF(BY51&gt;=1,1E9,BY51/(1-BY51)*BZ51),"")</f>
        <v/>
      </c>
      <c r="CB51" s="40">
        <f>IFERROR(CA51/(1+CA51),"")</f>
        <v/>
      </c>
      <c r="CC51" s="42">
        <f>BH51</f>
        <v/>
      </c>
      <c r="CD51" s="42">
        <f>BN51</f>
        <v/>
      </c>
      <c r="CE51" s="42">
        <f>CB51</f>
        <v/>
      </c>
      <c r="CF51" s="43" t="inlineStr">
        <is>
          <t>Widely felt. True structural observation.</t>
        </is>
      </c>
    </row>
    <row r="52" ht="40" customHeight="1">
      <c r="A52" s="46" t="n">
        <v>50</v>
      </c>
      <c r="B52" s="47" t="inlineStr">
        <is>
          <t>Where you studied in Morocco matters less for employment than who you know.</t>
        </is>
      </c>
      <c r="C52" s="46" t="inlineStr">
        <is>
          <t>Education</t>
        </is>
      </c>
      <c r="D52" s="39" t="n">
        <v>0.85</v>
      </c>
      <c r="E52" s="39" t="n">
        <v>0.85</v>
      </c>
      <c r="F52" s="39" t="n">
        <v>0.82</v>
      </c>
      <c r="G52" s="39" t="n">
        <v>0.85</v>
      </c>
      <c r="H52" s="40">
        <f>IFERROR(AVERAGE(D52,E52,F52,G52),"")</f>
        <v/>
      </c>
      <c r="I52" s="39" t="n">
        <v>0.7</v>
      </c>
      <c r="J52" s="39" t="n">
        <v>0.65</v>
      </c>
      <c r="K52" s="39" t="n">
        <v>0.68</v>
      </c>
      <c r="L52" s="39" t="n">
        <v>0.62</v>
      </c>
      <c r="M52" s="40">
        <f>IFERROR(AVERAGE(I52,J52,K52,L52),"")</f>
        <v/>
      </c>
      <c r="N52" s="39" t="n">
        <v>0.58</v>
      </c>
      <c r="O52" s="39" t="n">
        <v>0.75</v>
      </c>
      <c r="P52" s="40">
        <f>IFERROR(IF(H52=0,0,H52^(H52^(-0.5)))*SQRT(M52)*((4*N52+O52)/5),"")</f>
        <v/>
      </c>
      <c r="Q52" s="39" t="n">
        <v>0.42</v>
      </c>
      <c r="R52" s="39" t="n">
        <v>0.85</v>
      </c>
      <c r="S52" s="39" t="n">
        <v>0.82</v>
      </c>
      <c r="T52" s="39" t="n">
        <v>0.78</v>
      </c>
      <c r="U52" s="40">
        <f>IFERROR(((Q52^1.4+T52)/2)*R52*(1-EXP(-4.605*S52)),"")</f>
        <v/>
      </c>
      <c r="V52" s="39" t="n">
        <v>0.62</v>
      </c>
      <c r="W52" s="39" t="n">
        <v>0.68</v>
      </c>
      <c r="X52" s="39" t="n">
        <v>0.6</v>
      </c>
      <c r="Y52" s="39" t="n">
        <v>0.68</v>
      </c>
      <c r="Z52" s="39" t="n">
        <v>0.45</v>
      </c>
      <c r="AA52" s="39" t="n">
        <v>0.68</v>
      </c>
      <c r="AB52" s="40">
        <f>IFERROR(Z52*(Y52*AA52^1.1)^1.1*((3*V52+2*W52+X52)/6)^0.5,"")</f>
        <v/>
      </c>
      <c r="AC52" s="40">
        <f>IFERROR(SQRT(AB52),"")</f>
        <v/>
      </c>
      <c r="AD52" s="39" t="n">
        <v>0.62</v>
      </c>
      <c r="AE52" s="39" t="n">
        <v>0.45</v>
      </c>
      <c r="AF52" s="40">
        <f>IFERROR(AE52*(1-AE52*H52),"")</f>
        <v/>
      </c>
      <c r="AG52" s="39" t="n">
        <v>0.6</v>
      </c>
      <c r="AH52" s="39" t="n">
        <v>0.78</v>
      </c>
      <c r="AI52" s="39" t="n">
        <v>0.7</v>
      </c>
      <c r="AJ52" s="40">
        <f>IFERROR(AH52^2.1*AG52^0.2*(2*AF52+3*AI52+AD52)/6,"")</f>
        <v/>
      </c>
      <c r="AK52" s="40">
        <f>IFERROR(SQRT(AJ52),"")</f>
        <v/>
      </c>
      <c r="AL52" s="39" t="n">
        <v>0.3</v>
      </c>
      <c r="AM52" s="40">
        <f>IFERROR(1-EXP(-AL52),"")</f>
        <v/>
      </c>
      <c r="AN52" s="40">
        <f>IFERROR(4.18*AM52^0.7*(1-AM52)^1.5,"")</f>
        <v/>
      </c>
      <c r="AO52" s="39" t="n">
        <v>0.72</v>
      </c>
      <c r="AP52" s="39" t="n">
        <v>0.52</v>
      </c>
      <c r="AQ52" s="39" t="n">
        <v>0.6</v>
      </c>
      <c r="AR52" s="39" t="n">
        <v>0.82</v>
      </c>
      <c r="AS52" s="40">
        <f>IFERROR(AN52^(1-AO52)*AP52*(4*AQ52*(1-AQ52))*AR52^1.15,"")</f>
        <v/>
      </c>
      <c r="AT52" s="40">
        <f>IFERROR(AS52^(1/3),"")</f>
        <v/>
      </c>
      <c r="AU52" s="39" t="n">
        <v>1.5</v>
      </c>
      <c r="AV52" s="39" t="n">
        <v>2</v>
      </c>
      <c r="AW52" s="40">
        <f>IFERROR(IF(AV52&lt;=1,AU52,AU52*(1+(AV52-1)*0.6)),"")</f>
        <v/>
      </c>
      <c r="AX52" s="39" t="n">
        <v>0.82</v>
      </c>
      <c r="AY52" s="39" t="n">
        <v>0.35</v>
      </c>
      <c r="AZ52" s="41" t="n">
        <v>0.5</v>
      </c>
      <c r="BA52" s="40">
        <f>IFERROR(AZ52/(1-AZ52),"")</f>
        <v/>
      </c>
      <c r="BB52" s="40">
        <f>IFERROR(EXP((P52-0.301)/(0.301*(1-0.301))),"")</f>
        <v/>
      </c>
      <c r="BC52" s="40">
        <f>IFERROR(EXP((U52-0.354)/(0.354*(1-0.354))),"")</f>
        <v/>
      </c>
      <c r="BD52" s="40">
        <f>IFERROR(AW52,"")</f>
        <v/>
      </c>
      <c r="BE52" s="40">
        <f>IFERROR(EXP((AX52-0.75)/(0.75*(1-0.75))),"")</f>
        <v/>
      </c>
      <c r="BF52" s="40">
        <f>IFERROR(EXP((AY52-0.5)/(0.5*(1-0.5))),"")</f>
        <v/>
      </c>
      <c r="BG52" s="40">
        <f>IFERROR(BA52*BB52*BC52*BD52*BE52*BF52,"")</f>
        <v/>
      </c>
      <c r="BH52" s="40">
        <f>IFERROR(BG52/(1+BG52),"")</f>
        <v/>
      </c>
      <c r="BI52" s="40">
        <f>IFERROR(IF(BH52&gt;=1,1E9,BH52/(1-BH52)),"")</f>
        <v/>
      </c>
      <c r="BJ52" s="40">
        <f>IFERROR(EXP((AC52-0.372)/(0.372*(1-0.372))),"")</f>
        <v/>
      </c>
      <c r="BK52" s="40">
        <f>IFERROR(EXP((AK52-0.415)/(0.415*(1-0.415))),"")</f>
        <v/>
      </c>
      <c r="BL52" s="40">
        <f>IFERROR(EXP((AT52-0.405)/(0.405*(1-0.405))),"")</f>
        <v/>
      </c>
      <c r="BM52" s="40">
        <f>IFERROR(BI52*BJ52*BK52*BL52,"")</f>
        <v/>
      </c>
      <c r="BN52" s="40">
        <f>IFERROR(BM52/(1+BM52),"")</f>
        <v/>
      </c>
      <c r="BO52" s="40">
        <f>IFERROR(IF(AC52&gt;=1,0.999,1-EXP(1-(1-AC52)^(-0.8))),"")</f>
        <v/>
      </c>
      <c r="BP52" s="40">
        <f>IFERROR(IF(AK52&gt;=1,0.999,1-EXP(1-(1-AK52)^(-0.75))),"")</f>
        <v/>
      </c>
      <c r="BQ52" s="40">
        <f>IFERROR(1-EXP(-AL52*(1+AL52)),"")</f>
        <v/>
      </c>
      <c r="BR52" s="40">
        <f>IFERROR(BQ52^(1-AO52)*AP52*(4*AQ52*(1-AQ52))*AR52^1.15,"")</f>
        <v/>
      </c>
      <c r="BS52" s="40">
        <f>IFERROR(IF(BR52^(1/3)&gt;=1,0.999,1-EXP(1-(1-BR52^(1/3))^(-0.7))),"")</f>
        <v/>
      </c>
      <c r="BT52" s="40">
        <f>1</f>
        <v/>
      </c>
      <c r="BU52" s="40">
        <f>IFERROR(EXP((BO52-0.372)/(0.372*(1-0.372))),"")</f>
        <v/>
      </c>
      <c r="BV52" s="40">
        <f>IFERROR(EXP((BP52-0.415)/(0.415*(1-0.415))),"")</f>
        <v/>
      </c>
      <c r="BW52" s="40">
        <f>IFERROR(EXP((BS52-0.405)/(0.405*(1-0.405))),"")</f>
        <v/>
      </c>
      <c r="BX52" s="40">
        <f>IFERROR(BT52*BU52*BV52*BW52,"")</f>
        <v/>
      </c>
      <c r="BY52" s="40">
        <f>IFERROR(BX52/(1+BX52),"")</f>
        <v/>
      </c>
      <c r="BZ52" s="40">
        <f>IFERROR(EXP(0.15*(SQRT(BH52)-0.5)/(0.5*0.5)),"")</f>
        <v/>
      </c>
      <c r="CA52" s="40">
        <f>IFERROR(IF(BY52&gt;=1,1E9,BY52/(1-BY52)*BZ52),"")</f>
        <v/>
      </c>
      <c r="CB52" s="40">
        <f>IFERROR(CA52/(1+CA52),"")</f>
        <v/>
      </c>
      <c r="CC52" s="42">
        <f>BH52</f>
        <v/>
      </c>
      <c r="CD52" s="42">
        <f>BN52</f>
        <v/>
      </c>
      <c r="CE52" s="42">
        <f>CB52</f>
        <v/>
      </c>
      <c r="CF52" s="43" t="inlineStr">
        <is>
          <t>Widely accepted. Ma3rifa consensus.</t>
        </is>
      </c>
    </row>
    <row r="53" ht="40" customHeight="1">
      <c r="A53" s="46" t="n">
        <v>51</v>
      </c>
      <c r="B53" s="47" t="inlineStr">
        <is>
          <t>Islamic education in Moroccan schools has become a formal subject with little practical or spiritual content.</t>
        </is>
      </c>
      <c r="C53" s="46" t="inlineStr">
        <is>
          <t>Education</t>
        </is>
      </c>
      <c r="D53" s="39" t="n">
        <v>0.82</v>
      </c>
      <c r="E53" s="39" t="n">
        <v>0.82</v>
      </c>
      <c r="F53" s="39" t="n">
        <v>0.78</v>
      </c>
      <c r="G53" s="39" t="n">
        <v>0.8</v>
      </c>
      <c r="H53" s="40">
        <f>IFERROR(AVERAGE(D53,E53,F53,G53),"")</f>
        <v/>
      </c>
      <c r="I53" s="39" t="n">
        <v>0.65</v>
      </c>
      <c r="J53" s="39" t="n">
        <v>0.62</v>
      </c>
      <c r="K53" s="39" t="n">
        <v>0.65</v>
      </c>
      <c r="L53" s="39" t="n">
        <v>0.6</v>
      </c>
      <c r="M53" s="40">
        <f>IFERROR(AVERAGE(I53,J53,K53,L53),"")</f>
        <v/>
      </c>
      <c r="N53" s="39" t="n">
        <v>0.55</v>
      </c>
      <c r="O53" s="39" t="n">
        <v>0.72</v>
      </c>
      <c r="P53" s="40">
        <f>IFERROR(IF(H53=0,0,H53^(H53^(-0.5)))*SQRT(M53)*((4*N53+O53)/5),"")</f>
        <v/>
      </c>
      <c r="Q53" s="39" t="n">
        <v>0.5</v>
      </c>
      <c r="R53" s="39" t="n">
        <v>0.8</v>
      </c>
      <c r="S53" s="39" t="n">
        <v>0.78</v>
      </c>
      <c r="T53" s="39" t="n">
        <v>0.75</v>
      </c>
      <c r="U53" s="40">
        <f>IFERROR(((Q53^1.4+T53)/2)*R53*(1-EXP(-4.605*S53)),"")</f>
        <v/>
      </c>
      <c r="V53" s="39" t="n">
        <v>0.6</v>
      </c>
      <c r="W53" s="39" t="n">
        <v>0.62</v>
      </c>
      <c r="X53" s="39" t="n">
        <v>0.6</v>
      </c>
      <c r="Y53" s="39" t="n">
        <v>0.65</v>
      </c>
      <c r="Z53" s="39" t="n">
        <v>0.45</v>
      </c>
      <c r="AA53" s="39" t="n">
        <v>0.65</v>
      </c>
      <c r="AB53" s="40">
        <f>IFERROR(Z53*(Y53*AA53^1.1)^1.1*((3*V53+2*W53+X53)/6)^0.5,"")</f>
        <v/>
      </c>
      <c r="AC53" s="40">
        <f>IFERROR(SQRT(AB53),"")</f>
        <v/>
      </c>
      <c r="AD53" s="39" t="n">
        <v>0.62</v>
      </c>
      <c r="AE53" s="39" t="n">
        <v>0.4</v>
      </c>
      <c r="AF53" s="40">
        <f>IFERROR(AE53*(1-AE53*H53),"")</f>
        <v/>
      </c>
      <c r="AG53" s="39" t="n">
        <v>0.58</v>
      </c>
      <c r="AH53" s="39" t="n">
        <v>0.68</v>
      </c>
      <c r="AI53" s="39" t="n">
        <v>0.68</v>
      </c>
      <c r="AJ53" s="40">
        <f>IFERROR(AH53^2.1*AG53^0.2*(2*AF53+3*AI53+AD53)/6,"")</f>
        <v/>
      </c>
      <c r="AK53" s="40">
        <f>IFERROR(SQRT(AJ53),"")</f>
        <v/>
      </c>
      <c r="AL53" s="39" t="n">
        <v>0.45</v>
      </c>
      <c r="AM53" s="40">
        <f>IFERROR(1-EXP(-AL53),"")</f>
        <v/>
      </c>
      <c r="AN53" s="40">
        <f>IFERROR(4.18*AM53^0.7*(1-AM53)^1.5,"")</f>
        <v/>
      </c>
      <c r="AO53" s="39" t="n">
        <v>0.7</v>
      </c>
      <c r="AP53" s="39" t="n">
        <v>0.52</v>
      </c>
      <c r="AQ53" s="39" t="n">
        <v>0.68</v>
      </c>
      <c r="AR53" s="39" t="n">
        <v>0.75</v>
      </c>
      <c r="AS53" s="40">
        <f>IFERROR(AN53^(1-AO53)*AP53*(4*AQ53*(1-AQ53))*AR53^1.15,"")</f>
        <v/>
      </c>
      <c r="AT53" s="40">
        <f>IFERROR(AS53^(1/3),"")</f>
        <v/>
      </c>
      <c r="AU53" s="39" t="n">
        <v>1.3</v>
      </c>
      <c r="AV53" s="39" t="n">
        <v>2</v>
      </c>
      <c r="AW53" s="40">
        <f>IFERROR(IF(AV53&lt;=1,AU53,AU53*(1+(AV53-1)*0.6)),"")</f>
        <v/>
      </c>
      <c r="AX53" s="39" t="n">
        <v>0.75</v>
      </c>
      <c r="AY53" s="39" t="n">
        <v>0.3</v>
      </c>
      <c r="AZ53" s="41" t="n">
        <v>0.5</v>
      </c>
      <c r="BA53" s="40">
        <f>IFERROR(AZ53/(1-AZ53),"")</f>
        <v/>
      </c>
      <c r="BB53" s="40">
        <f>IFERROR(EXP((P53-0.301)/(0.301*(1-0.301))),"")</f>
        <v/>
      </c>
      <c r="BC53" s="40">
        <f>IFERROR(EXP((U53-0.354)/(0.354*(1-0.354))),"")</f>
        <v/>
      </c>
      <c r="BD53" s="40">
        <f>IFERROR(AW53,"")</f>
        <v/>
      </c>
      <c r="BE53" s="40">
        <f>IFERROR(EXP((AX53-0.75)/(0.75*(1-0.75))),"")</f>
        <v/>
      </c>
      <c r="BF53" s="40">
        <f>IFERROR(EXP((AY53-0.5)/(0.5*(1-0.5))),"")</f>
        <v/>
      </c>
      <c r="BG53" s="40">
        <f>IFERROR(BA53*BB53*BC53*BD53*BE53*BF53,"")</f>
        <v/>
      </c>
      <c r="BH53" s="40">
        <f>IFERROR(BG53/(1+BG53),"")</f>
        <v/>
      </c>
      <c r="BI53" s="40">
        <f>IFERROR(IF(BH53&gt;=1,1E9,BH53/(1-BH53)),"")</f>
        <v/>
      </c>
      <c r="BJ53" s="40">
        <f>IFERROR(EXP((AC53-0.372)/(0.372*(1-0.372))),"")</f>
        <v/>
      </c>
      <c r="BK53" s="40">
        <f>IFERROR(EXP((AK53-0.415)/(0.415*(1-0.415))),"")</f>
        <v/>
      </c>
      <c r="BL53" s="40">
        <f>IFERROR(EXP((AT53-0.405)/(0.405*(1-0.405))),"")</f>
        <v/>
      </c>
      <c r="BM53" s="40">
        <f>IFERROR(BI53*BJ53*BK53*BL53,"")</f>
        <v/>
      </c>
      <c r="BN53" s="40">
        <f>IFERROR(BM53/(1+BM53),"")</f>
        <v/>
      </c>
      <c r="BO53" s="40">
        <f>IFERROR(IF(AC53&gt;=1,0.999,1-EXP(1-(1-AC53)^(-0.8))),"")</f>
        <v/>
      </c>
      <c r="BP53" s="40">
        <f>IFERROR(IF(AK53&gt;=1,0.999,1-EXP(1-(1-AK53)^(-0.75))),"")</f>
        <v/>
      </c>
      <c r="BQ53" s="40">
        <f>IFERROR(1-EXP(-AL53*(1+AL53)),"")</f>
        <v/>
      </c>
      <c r="BR53" s="40">
        <f>IFERROR(BQ53^(1-AO53)*AP53*(4*AQ53*(1-AQ53))*AR53^1.15,"")</f>
        <v/>
      </c>
      <c r="BS53" s="40">
        <f>IFERROR(IF(BR53^(1/3)&gt;=1,0.999,1-EXP(1-(1-BR53^(1/3))^(-0.7))),"")</f>
        <v/>
      </c>
      <c r="BT53" s="40">
        <f>1</f>
        <v/>
      </c>
      <c r="BU53" s="40">
        <f>IFERROR(EXP((BO53-0.372)/(0.372*(1-0.372))),"")</f>
        <v/>
      </c>
      <c r="BV53" s="40">
        <f>IFERROR(EXP((BP53-0.415)/(0.415*(1-0.415))),"")</f>
        <v/>
      </c>
      <c r="BW53" s="40">
        <f>IFERROR(EXP((BS53-0.405)/(0.405*(1-0.405))),"")</f>
        <v/>
      </c>
      <c r="BX53" s="40">
        <f>IFERROR(BT53*BU53*BV53*BW53,"")</f>
        <v/>
      </c>
      <c r="BY53" s="40">
        <f>IFERROR(BX53/(1+BX53),"")</f>
        <v/>
      </c>
      <c r="BZ53" s="40">
        <f>IFERROR(EXP(0.15*(SQRT(BH53)-0.5)/(0.5*0.5)),"")</f>
        <v/>
      </c>
      <c r="CA53" s="40">
        <f>IFERROR(IF(BY53&gt;=1,1E9,BY53/(1-BY53)*BZ53),"")</f>
        <v/>
      </c>
      <c r="CB53" s="40">
        <f>IFERROR(CA53/(1+CA53),"")</f>
        <v/>
      </c>
      <c r="CC53" s="42">
        <f>BH53</f>
        <v/>
      </c>
      <c r="CD53" s="42">
        <f>BN53</f>
        <v/>
      </c>
      <c r="CE53" s="42">
        <f>CB53</f>
        <v/>
      </c>
      <c r="CF53" s="43" t="inlineStr">
        <is>
          <t>Receiver: emotionally charged. Muslim context makes this sensitive.</t>
        </is>
      </c>
    </row>
    <row r="54" ht="40" customHeight="1">
      <c r="A54" s="46" t="n">
        <v>52</v>
      </c>
      <c r="B54" s="47" t="inlineStr">
        <is>
          <t>A newly hired state teacher in Morocco starts on a salary that's low for the cost of living in major cities.</t>
        </is>
      </c>
      <c r="C54" s="46" t="inlineStr">
        <is>
          <t>Education</t>
        </is>
      </c>
      <c r="D54" s="39" t="n">
        <v>0.85</v>
      </c>
      <c r="E54" s="39" t="n">
        <v>0.85</v>
      </c>
      <c r="F54" s="39" t="n">
        <v>0.82</v>
      </c>
      <c r="G54" s="39" t="n">
        <v>0.85</v>
      </c>
      <c r="H54" s="40">
        <f>IFERROR(AVERAGE(D54,E54,F54,G54),"")</f>
        <v/>
      </c>
      <c r="I54" s="39" t="n">
        <v>0.7</v>
      </c>
      <c r="J54" s="39" t="n">
        <v>0.65</v>
      </c>
      <c r="K54" s="39" t="n">
        <v>0.68</v>
      </c>
      <c r="L54" s="39" t="n">
        <v>0.65</v>
      </c>
      <c r="M54" s="40">
        <f>IFERROR(AVERAGE(I54,J54,K54,L54),"")</f>
        <v/>
      </c>
      <c r="N54" s="39" t="n">
        <v>0.58</v>
      </c>
      <c r="O54" s="39" t="n">
        <v>0.75</v>
      </c>
      <c r="P54" s="40">
        <f>IFERROR(IF(H54=0,0,H54^(H54^(-0.5)))*SQRT(M54)*((4*N54+O54)/5),"")</f>
        <v/>
      </c>
      <c r="Q54" s="39" t="n">
        <v>0.4</v>
      </c>
      <c r="R54" s="39" t="n">
        <v>0.88</v>
      </c>
      <c r="S54" s="39" t="n">
        <v>0.88</v>
      </c>
      <c r="T54" s="39" t="n">
        <v>0.8</v>
      </c>
      <c r="U54" s="40">
        <f>IFERROR(((Q54^1.4+T54)/2)*R54*(1-EXP(-4.605*S54)),"")</f>
        <v/>
      </c>
      <c r="V54" s="39" t="n">
        <v>0.62</v>
      </c>
      <c r="W54" s="39" t="n">
        <v>0.68</v>
      </c>
      <c r="X54" s="39" t="n">
        <v>0.6</v>
      </c>
      <c r="Y54" s="39" t="n">
        <v>0.68</v>
      </c>
      <c r="Z54" s="39" t="n">
        <v>0.45</v>
      </c>
      <c r="AA54" s="39" t="n">
        <v>0.68</v>
      </c>
      <c r="AB54" s="40">
        <f>IFERROR(Z54*(Y54*AA54^1.1)^1.1*((3*V54+2*W54+X54)/6)^0.5,"")</f>
        <v/>
      </c>
      <c r="AC54" s="40">
        <f>IFERROR(SQRT(AB54),"")</f>
        <v/>
      </c>
      <c r="AD54" s="39" t="n">
        <v>0.65</v>
      </c>
      <c r="AE54" s="39" t="n">
        <v>0.48</v>
      </c>
      <c r="AF54" s="40">
        <f>IFERROR(AE54*(1-AE54*H54),"")</f>
        <v/>
      </c>
      <c r="AG54" s="39" t="n">
        <v>0.62</v>
      </c>
      <c r="AH54" s="39" t="n">
        <v>0.78</v>
      </c>
      <c r="AI54" s="39" t="n">
        <v>0.72</v>
      </c>
      <c r="AJ54" s="40">
        <f>IFERROR(AH54^2.1*AG54^0.2*(2*AF54+3*AI54+AD54)/6,"")</f>
        <v/>
      </c>
      <c r="AK54" s="40">
        <f>IFERROR(SQRT(AJ54),"")</f>
        <v/>
      </c>
      <c r="AL54" s="39" t="n">
        <v>0.6</v>
      </c>
      <c r="AM54" s="40">
        <f>IFERROR(1-EXP(-AL54),"")</f>
        <v/>
      </c>
      <c r="AN54" s="40">
        <f>IFERROR(4.18*AM54^0.7*(1-AM54)^1.5,"")</f>
        <v/>
      </c>
      <c r="AO54" s="39" t="n">
        <v>0.7</v>
      </c>
      <c r="AP54" s="39" t="n">
        <v>0.5</v>
      </c>
      <c r="AQ54" s="39" t="n">
        <v>0.58</v>
      </c>
      <c r="AR54" s="39" t="n">
        <v>0.75</v>
      </c>
      <c r="AS54" s="40">
        <f>IFERROR(AN54^(1-AO54)*AP54*(4*AQ54*(1-AQ54))*AR54^1.15,"")</f>
        <v/>
      </c>
      <c r="AT54" s="40">
        <f>IFERROR(AS54^(1/3),"")</f>
        <v/>
      </c>
      <c r="AU54" s="39" t="n">
        <v>1.5</v>
      </c>
      <c r="AV54" s="39" t="n">
        <v>2</v>
      </c>
      <c r="AW54" s="40">
        <f>IFERROR(IF(AV54&lt;=1,AU54,AU54*(1+(AV54-1)*0.6)),"")</f>
        <v/>
      </c>
      <c r="AX54" s="39" t="n">
        <v>0.85</v>
      </c>
      <c r="AY54" s="39" t="n">
        <v>0.38</v>
      </c>
      <c r="AZ54" s="41" t="n">
        <v>0.5</v>
      </c>
      <c r="BA54" s="40">
        <f>IFERROR(AZ54/(1-AZ54),"")</f>
        <v/>
      </c>
      <c r="BB54" s="40">
        <f>IFERROR(EXP((P54-0.301)/(0.301*(1-0.301))),"")</f>
        <v/>
      </c>
      <c r="BC54" s="40">
        <f>IFERROR(EXP((U54-0.354)/(0.354*(1-0.354))),"")</f>
        <v/>
      </c>
      <c r="BD54" s="40">
        <f>IFERROR(AW54,"")</f>
        <v/>
      </c>
      <c r="BE54" s="40">
        <f>IFERROR(EXP((AX54-0.75)/(0.75*(1-0.75))),"")</f>
        <v/>
      </c>
      <c r="BF54" s="40">
        <f>IFERROR(EXP((AY54-0.5)/(0.5*(1-0.5))),"")</f>
        <v/>
      </c>
      <c r="BG54" s="40">
        <f>IFERROR(BA54*BB54*BC54*BD54*BE54*BF54,"")</f>
        <v/>
      </c>
      <c r="BH54" s="40">
        <f>IFERROR(BG54/(1+BG54),"")</f>
        <v/>
      </c>
      <c r="BI54" s="40">
        <f>IFERROR(IF(BH54&gt;=1,1E9,BH54/(1-BH54)),"")</f>
        <v/>
      </c>
      <c r="BJ54" s="40">
        <f>IFERROR(EXP((AC54-0.372)/(0.372*(1-0.372))),"")</f>
        <v/>
      </c>
      <c r="BK54" s="40">
        <f>IFERROR(EXP((AK54-0.415)/(0.415*(1-0.415))),"")</f>
        <v/>
      </c>
      <c r="BL54" s="40">
        <f>IFERROR(EXP((AT54-0.405)/(0.405*(1-0.405))),"")</f>
        <v/>
      </c>
      <c r="BM54" s="40">
        <f>IFERROR(BI54*BJ54*BK54*BL54,"")</f>
        <v/>
      </c>
      <c r="BN54" s="40">
        <f>IFERROR(BM54/(1+BM54),"")</f>
        <v/>
      </c>
      <c r="BO54" s="40">
        <f>IFERROR(IF(AC54&gt;=1,0.999,1-EXP(1-(1-AC54)^(-0.8))),"")</f>
        <v/>
      </c>
      <c r="BP54" s="40">
        <f>IFERROR(IF(AK54&gt;=1,0.999,1-EXP(1-(1-AK54)^(-0.75))),"")</f>
        <v/>
      </c>
      <c r="BQ54" s="40">
        <f>IFERROR(1-EXP(-AL54*(1+AL54)),"")</f>
        <v/>
      </c>
      <c r="BR54" s="40">
        <f>IFERROR(BQ54^(1-AO54)*AP54*(4*AQ54*(1-AQ54))*AR54^1.15,"")</f>
        <v/>
      </c>
      <c r="BS54" s="40">
        <f>IFERROR(IF(BR54^(1/3)&gt;=1,0.999,1-EXP(1-(1-BR54^(1/3))^(-0.7))),"")</f>
        <v/>
      </c>
      <c r="BT54" s="40">
        <f>1</f>
        <v/>
      </c>
      <c r="BU54" s="40">
        <f>IFERROR(EXP((BO54-0.372)/(0.372*(1-0.372))),"")</f>
        <v/>
      </c>
      <c r="BV54" s="40">
        <f>IFERROR(EXP((BP54-0.415)/(0.415*(1-0.415))),"")</f>
        <v/>
      </c>
      <c r="BW54" s="40">
        <f>IFERROR(EXP((BS54-0.405)/(0.405*(1-0.405))),"")</f>
        <v/>
      </c>
      <c r="BX54" s="40">
        <f>IFERROR(BT54*BU54*BV54*BW54,"")</f>
        <v/>
      </c>
      <c r="BY54" s="40">
        <f>IFERROR(BX54/(1+BX54),"")</f>
        <v/>
      </c>
      <c r="BZ54" s="40">
        <f>IFERROR(EXP(0.15*(SQRT(BH54)-0.5)/(0.5*0.5)),"")</f>
        <v/>
      </c>
      <c r="CA54" s="40">
        <f>IFERROR(IF(BY54&gt;=1,1E9,BY54/(1-BY54)*BZ54),"")</f>
        <v/>
      </c>
      <c r="CB54" s="40">
        <f>IFERROR(CA54/(1+CA54),"")</f>
        <v/>
      </c>
      <c r="CC54" s="42">
        <f>BH54</f>
        <v/>
      </c>
      <c r="CD54" s="42">
        <f>BN54</f>
        <v/>
      </c>
      <c r="CE54" s="42">
        <f>CB54</f>
        <v/>
      </c>
      <c r="CF54" s="43" t="inlineStr">
        <is>
          <t>True. Phrased as felt reality. People know teachers start low.</t>
        </is>
      </c>
    </row>
    <row r="55" ht="40" customHeight="1">
      <c r="A55" s="46" t="n">
        <v>53</v>
      </c>
      <c r="B55" s="47" t="inlineStr">
        <is>
          <t>Teachers in Morocco are widely blamed for the failures of an education system they did not design and cannot change alone.</t>
        </is>
      </c>
      <c r="C55" s="46" t="inlineStr">
        <is>
          <t>Education</t>
        </is>
      </c>
      <c r="D55" s="39" t="n">
        <v>0.82</v>
      </c>
      <c r="E55" s="39" t="n">
        <v>0.82</v>
      </c>
      <c r="F55" s="39" t="n">
        <v>0.78</v>
      </c>
      <c r="G55" s="39" t="n">
        <v>0.82</v>
      </c>
      <c r="H55" s="40">
        <f>IFERROR(AVERAGE(D55,E55,F55,G55),"")</f>
        <v/>
      </c>
      <c r="I55" s="39" t="n">
        <v>0.65</v>
      </c>
      <c r="J55" s="39" t="n">
        <v>0.62</v>
      </c>
      <c r="K55" s="39" t="n">
        <v>0.65</v>
      </c>
      <c r="L55" s="39" t="n">
        <v>0.6</v>
      </c>
      <c r="M55" s="40">
        <f>IFERROR(AVERAGE(I55,J55,K55,L55),"")</f>
        <v/>
      </c>
      <c r="N55" s="39" t="n">
        <v>0.55</v>
      </c>
      <c r="O55" s="39" t="n">
        <v>0.7</v>
      </c>
      <c r="P55" s="40">
        <f>IFERROR(IF(H55=0,0,H55^(H55^(-0.5)))*SQRT(M55)*((4*N55+O55)/5),"")</f>
        <v/>
      </c>
      <c r="Q55" s="39" t="n">
        <v>0.48</v>
      </c>
      <c r="R55" s="39" t="n">
        <v>0.8</v>
      </c>
      <c r="S55" s="39" t="n">
        <v>0.78</v>
      </c>
      <c r="T55" s="39" t="n">
        <v>0.75</v>
      </c>
      <c r="U55" s="40">
        <f>IFERROR(((Q55^1.4+T55)/2)*R55*(1-EXP(-4.605*S55)),"")</f>
        <v/>
      </c>
      <c r="V55" s="39" t="n">
        <v>0.6</v>
      </c>
      <c r="W55" s="39" t="n">
        <v>0.65</v>
      </c>
      <c r="X55" s="39" t="n">
        <v>0.6</v>
      </c>
      <c r="Y55" s="39" t="n">
        <v>0.65</v>
      </c>
      <c r="Z55" s="39" t="n">
        <v>0.45</v>
      </c>
      <c r="AA55" s="39" t="n">
        <v>0.65</v>
      </c>
      <c r="AB55" s="40">
        <f>IFERROR(Z55*(Y55*AA55^1.1)^1.1*((3*V55+2*W55+X55)/6)^0.5,"")</f>
        <v/>
      </c>
      <c r="AC55" s="40">
        <f>IFERROR(SQRT(AB55),"")</f>
        <v/>
      </c>
      <c r="AD55" s="39" t="n">
        <v>0.62</v>
      </c>
      <c r="AE55" s="39" t="n">
        <v>0.42</v>
      </c>
      <c r="AF55" s="40">
        <f>IFERROR(AE55*(1-AE55*H55),"")</f>
        <v/>
      </c>
      <c r="AG55" s="39" t="n">
        <v>0.58</v>
      </c>
      <c r="AH55" s="39" t="n">
        <v>0.62</v>
      </c>
      <c r="AI55" s="39" t="n">
        <v>0.68</v>
      </c>
      <c r="AJ55" s="40">
        <f>IFERROR(AH55^2.1*AG55^0.2*(2*AF55+3*AI55+AD55)/6,"")</f>
        <v/>
      </c>
      <c r="AK55" s="40">
        <f>IFERROR(SQRT(AJ55),"")</f>
        <v/>
      </c>
      <c r="AL55" s="39" t="n">
        <v>0.45</v>
      </c>
      <c r="AM55" s="40">
        <f>IFERROR(1-EXP(-AL55),"")</f>
        <v/>
      </c>
      <c r="AN55" s="40">
        <f>IFERROR(4.18*AM55^0.7*(1-AM55)^1.5,"")</f>
        <v/>
      </c>
      <c r="AO55" s="39" t="n">
        <v>0.7</v>
      </c>
      <c r="AP55" s="39" t="n">
        <v>0.52</v>
      </c>
      <c r="AQ55" s="39" t="n">
        <v>0.6</v>
      </c>
      <c r="AR55" s="39" t="n">
        <v>0.72</v>
      </c>
      <c r="AS55" s="40">
        <f>IFERROR(AN55^(1-AO55)*AP55*(4*AQ55*(1-AQ55))*AR55^1.15,"")</f>
        <v/>
      </c>
      <c r="AT55" s="40">
        <f>IFERROR(AS55^(1/3),"")</f>
        <v/>
      </c>
      <c r="AU55" s="39" t="n">
        <v>1.3</v>
      </c>
      <c r="AV55" s="39" t="n">
        <v>2</v>
      </c>
      <c r="AW55" s="40">
        <f>IFERROR(IF(AV55&lt;=1,AU55,AU55*(1+(AV55-1)*0.6)),"")</f>
        <v/>
      </c>
      <c r="AX55" s="39" t="n">
        <v>0.75</v>
      </c>
      <c r="AY55" s="39" t="n">
        <v>0.3</v>
      </c>
      <c r="AZ55" s="41" t="n">
        <v>0.5</v>
      </c>
      <c r="BA55" s="40">
        <f>IFERROR(AZ55/(1-AZ55),"")</f>
        <v/>
      </c>
      <c r="BB55" s="40">
        <f>IFERROR(EXP((P55-0.301)/(0.301*(1-0.301))),"")</f>
        <v/>
      </c>
      <c r="BC55" s="40">
        <f>IFERROR(EXP((U55-0.354)/(0.354*(1-0.354))),"")</f>
        <v/>
      </c>
      <c r="BD55" s="40">
        <f>IFERROR(AW55,"")</f>
        <v/>
      </c>
      <c r="BE55" s="40">
        <f>IFERROR(EXP((AX55-0.75)/(0.75*(1-0.75))),"")</f>
        <v/>
      </c>
      <c r="BF55" s="40">
        <f>IFERROR(EXP((AY55-0.5)/(0.5*(1-0.5))),"")</f>
        <v/>
      </c>
      <c r="BG55" s="40">
        <f>IFERROR(BA55*BB55*BC55*BD55*BE55*BF55,"")</f>
        <v/>
      </c>
      <c r="BH55" s="40">
        <f>IFERROR(BG55/(1+BG55),"")</f>
        <v/>
      </c>
      <c r="BI55" s="40">
        <f>IFERROR(IF(BH55&gt;=1,1E9,BH55/(1-BH55)),"")</f>
        <v/>
      </c>
      <c r="BJ55" s="40">
        <f>IFERROR(EXP((AC55-0.372)/(0.372*(1-0.372))),"")</f>
        <v/>
      </c>
      <c r="BK55" s="40">
        <f>IFERROR(EXP((AK55-0.415)/(0.415*(1-0.415))),"")</f>
        <v/>
      </c>
      <c r="BL55" s="40">
        <f>IFERROR(EXP((AT55-0.405)/(0.405*(1-0.405))),"")</f>
        <v/>
      </c>
      <c r="BM55" s="40">
        <f>IFERROR(BI55*BJ55*BK55*BL55,"")</f>
        <v/>
      </c>
      <c r="BN55" s="40">
        <f>IFERROR(BM55/(1+BM55),"")</f>
        <v/>
      </c>
      <c r="BO55" s="40">
        <f>IFERROR(IF(AC55&gt;=1,0.999,1-EXP(1-(1-AC55)^(-0.8))),"")</f>
        <v/>
      </c>
      <c r="BP55" s="40">
        <f>IFERROR(IF(AK55&gt;=1,0.999,1-EXP(1-(1-AK55)^(-0.75))),"")</f>
        <v/>
      </c>
      <c r="BQ55" s="40">
        <f>IFERROR(1-EXP(-AL55*(1+AL55)),"")</f>
        <v/>
      </c>
      <c r="BR55" s="40">
        <f>IFERROR(BQ55^(1-AO55)*AP55*(4*AQ55*(1-AQ55))*AR55^1.15,"")</f>
        <v/>
      </c>
      <c r="BS55" s="40">
        <f>IFERROR(IF(BR55^(1/3)&gt;=1,0.999,1-EXP(1-(1-BR55^(1/3))^(-0.7))),"")</f>
        <v/>
      </c>
      <c r="BT55" s="40">
        <f>1</f>
        <v/>
      </c>
      <c r="BU55" s="40">
        <f>IFERROR(EXP((BO55-0.372)/(0.372*(1-0.372))),"")</f>
        <v/>
      </c>
      <c r="BV55" s="40">
        <f>IFERROR(EXP((BP55-0.415)/(0.415*(1-0.415))),"")</f>
        <v/>
      </c>
      <c r="BW55" s="40">
        <f>IFERROR(EXP((BS55-0.405)/(0.405*(1-0.405))),"")</f>
        <v/>
      </c>
      <c r="BX55" s="40">
        <f>IFERROR(BT55*BU55*BV55*BW55,"")</f>
        <v/>
      </c>
      <c r="BY55" s="40">
        <f>IFERROR(BX55/(1+BX55),"")</f>
        <v/>
      </c>
      <c r="BZ55" s="40">
        <f>IFERROR(EXP(0.15*(SQRT(BH55)-0.5)/(0.5*0.5)),"")</f>
        <v/>
      </c>
      <c r="CA55" s="40">
        <f>IFERROR(IF(BY55&gt;=1,1E9,BY55/(1-BY55)*BZ55),"")</f>
        <v/>
      </c>
      <c r="CB55" s="40">
        <f>IFERROR(CA55/(1+CA55),"")</f>
        <v/>
      </c>
      <c r="CC55" s="42">
        <f>BH55</f>
        <v/>
      </c>
      <c r="CD55" s="42">
        <f>BN55</f>
        <v/>
      </c>
      <c r="CE55" s="42">
        <f>CB55</f>
        <v/>
      </c>
      <c r="CF55" s="43" t="inlineStr">
        <is>
          <t>Moderate pushback - many blame teachers. Opinion claim.</t>
        </is>
      </c>
    </row>
    <row r="56" ht="40" customHeight="1">
      <c r="A56" s="46" t="n">
        <v>54</v>
      </c>
      <c r="B56" s="47" t="inlineStr">
        <is>
          <t>The distribution of teachers in Morocco is deeply unequal — some regions have too many, others have almost none.</t>
        </is>
      </c>
      <c r="C56" s="46" t="inlineStr">
        <is>
          <t>Education</t>
        </is>
      </c>
      <c r="D56" s="39" t="n">
        <v>0.85</v>
      </c>
      <c r="E56" s="39" t="n">
        <v>0.85</v>
      </c>
      <c r="F56" s="39" t="n">
        <v>0.82</v>
      </c>
      <c r="G56" s="39" t="n">
        <v>0.85</v>
      </c>
      <c r="H56" s="40">
        <f>IFERROR(AVERAGE(D56,E56,F56,G56),"")</f>
        <v/>
      </c>
      <c r="I56" s="39" t="n">
        <v>0.7</v>
      </c>
      <c r="J56" s="39" t="n">
        <v>0.65</v>
      </c>
      <c r="K56" s="39" t="n">
        <v>0.68</v>
      </c>
      <c r="L56" s="39" t="n">
        <v>0.65</v>
      </c>
      <c r="M56" s="40">
        <f>IFERROR(AVERAGE(I56,J56,K56,L56),"")</f>
        <v/>
      </c>
      <c r="N56" s="39" t="n">
        <v>0.58</v>
      </c>
      <c r="O56" s="39" t="n">
        <v>0.72</v>
      </c>
      <c r="P56" s="40">
        <f>IFERROR(IF(H56=0,0,H56^(H56^(-0.5)))*SQRT(M56)*((4*N56+O56)/5),"")</f>
        <v/>
      </c>
      <c r="Q56" s="39" t="n">
        <v>0.38</v>
      </c>
      <c r="R56" s="39" t="n">
        <v>0.88</v>
      </c>
      <c r="S56" s="39" t="n">
        <v>0.85</v>
      </c>
      <c r="T56" s="39" t="n">
        <v>0.78</v>
      </c>
      <c r="U56" s="40">
        <f>IFERROR(((Q56^1.4+T56)/2)*R56*(1-EXP(-4.605*S56)),"")</f>
        <v/>
      </c>
      <c r="V56" s="39" t="n">
        <v>0.62</v>
      </c>
      <c r="W56" s="39" t="n">
        <v>0.68</v>
      </c>
      <c r="X56" s="39" t="n">
        <v>0.6</v>
      </c>
      <c r="Y56" s="39" t="n">
        <v>0.68</v>
      </c>
      <c r="Z56" s="39" t="n">
        <v>0.45</v>
      </c>
      <c r="AA56" s="39" t="n">
        <v>0.68</v>
      </c>
      <c r="AB56" s="40">
        <f>IFERROR(Z56*(Y56*AA56^1.1)^1.1*((3*V56+2*W56+X56)/6)^0.5,"")</f>
        <v/>
      </c>
      <c r="AC56" s="40">
        <f>IFERROR(SQRT(AB56),"")</f>
        <v/>
      </c>
      <c r="AD56" s="39" t="n">
        <v>0.62</v>
      </c>
      <c r="AE56" s="39" t="n">
        <v>0.45</v>
      </c>
      <c r="AF56" s="40">
        <f>IFERROR(AE56*(1-AE56*H56),"")</f>
        <v/>
      </c>
      <c r="AG56" s="39" t="n">
        <v>0.6</v>
      </c>
      <c r="AH56" s="39" t="n">
        <v>0.78</v>
      </c>
      <c r="AI56" s="39" t="n">
        <v>0.7</v>
      </c>
      <c r="AJ56" s="40">
        <f>IFERROR(AH56^2.1*AG56^0.2*(2*AF56+3*AI56+AD56)/6,"")</f>
        <v/>
      </c>
      <c r="AK56" s="40">
        <f>IFERROR(SQRT(AJ56),"")</f>
        <v/>
      </c>
      <c r="AL56" s="39" t="n">
        <v>0.45</v>
      </c>
      <c r="AM56" s="40">
        <f>IFERROR(1-EXP(-AL56),"")</f>
        <v/>
      </c>
      <c r="AN56" s="40">
        <f>IFERROR(4.18*AM56^0.7*(1-AM56)^1.5,"")</f>
        <v/>
      </c>
      <c r="AO56" s="39" t="n">
        <v>0.7</v>
      </c>
      <c r="AP56" s="39" t="n">
        <v>0.5</v>
      </c>
      <c r="AQ56" s="39" t="n">
        <v>0.58</v>
      </c>
      <c r="AR56" s="39" t="n">
        <v>0.72</v>
      </c>
      <c r="AS56" s="40">
        <f>IFERROR(AN56^(1-AO56)*AP56*(4*AQ56*(1-AQ56))*AR56^1.15,"")</f>
        <v/>
      </c>
      <c r="AT56" s="40">
        <f>IFERROR(AS56^(1/3),"")</f>
        <v/>
      </c>
      <c r="AU56" s="39" t="n">
        <v>1.5</v>
      </c>
      <c r="AV56" s="39" t="n">
        <v>2</v>
      </c>
      <c r="AW56" s="40">
        <f>IFERROR(IF(AV56&lt;=1,AU56,AU56*(1+(AV56-1)*0.6)),"")</f>
        <v/>
      </c>
      <c r="AX56" s="39" t="n">
        <v>0.85</v>
      </c>
      <c r="AY56" s="39" t="n">
        <v>0.38</v>
      </c>
      <c r="AZ56" s="41" t="n">
        <v>0.5</v>
      </c>
      <c r="BA56" s="40">
        <f>IFERROR(AZ56/(1-AZ56),"")</f>
        <v/>
      </c>
      <c r="BB56" s="40">
        <f>IFERROR(EXP((P56-0.301)/(0.301*(1-0.301))),"")</f>
        <v/>
      </c>
      <c r="BC56" s="40">
        <f>IFERROR(EXP((U56-0.354)/(0.354*(1-0.354))),"")</f>
        <v/>
      </c>
      <c r="BD56" s="40">
        <f>IFERROR(AW56,"")</f>
        <v/>
      </c>
      <c r="BE56" s="40">
        <f>IFERROR(EXP((AX56-0.75)/(0.75*(1-0.75))),"")</f>
        <v/>
      </c>
      <c r="BF56" s="40">
        <f>IFERROR(EXP((AY56-0.5)/(0.5*(1-0.5))),"")</f>
        <v/>
      </c>
      <c r="BG56" s="40">
        <f>IFERROR(BA56*BB56*BC56*BD56*BE56*BF56,"")</f>
        <v/>
      </c>
      <c r="BH56" s="40">
        <f>IFERROR(BG56/(1+BG56),"")</f>
        <v/>
      </c>
      <c r="BI56" s="40">
        <f>IFERROR(IF(BH56&gt;=1,1E9,BH56/(1-BH56)),"")</f>
        <v/>
      </c>
      <c r="BJ56" s="40">
        <f>IFERROR(EXP((AC56-0.372)/(0.372*(1-0.372))),"")</f>
        <v/>
      </c>
      <c r="BK56" s="40">
        <f>IFERROR(EXP((AK56-0.415)/(0.415*(1-0.415))),"")</f>
        <v/>
      </c>
      <c r="BL56" s="40">
        <f>IFERROR(EXP((AT56-0.405)/(0.405*(1-0.405))),"")</f>
        <v/>
      </c>
      <c r="BM56" s="40">
        <f>IFERROR(BI56*BJ56*BK56*BL56,"")</f>
        <v/>
      </c>
      <c r="BN56" s="40">
        <f>IFERROR(BM56/(1+BM56),"")</f>
        <v/>
      </c>
      <c r="BO56" s="40">
        <f>IFERROR(IF(AC56&gt;=1,0.999,1-EXP(1-(1-AC56)^(-0.8))),"")</f>
        <v/>
      </c>
      <c r="BP56" s="40">
        <f>IFERROR(IF(AK56&gt;=1,0.999,1-EXP(1-(1-AK56)^(-0.75))),"")</f>
        <v/>
      </c>
      <c r="BQ56" s="40">
        <f>IFERROR(1-EXP(-AL56*(1+AL56)),"")</f>
        <v/>
      </c>
      <c r="BR56" s="40">
        <f>IFERROR(BQ56^(1-AO56)*AP56*(4*AQ56*(1-AQ56))*AR56^1.15,"")</f>
        <v/>
      </c>
      <c r="BS56" s="40">
        <f>IFERROR(IF(BR56^(1/3)&gt;=1,0.999,1-EXP(1-(1-BR56^(1/3))^(-0.7))),"")</f>
        <v/>
      </c>
      <c r="BT56" s="40">
        <f>1</f>
        <v/>
      </c>
      <c r="BU56" s="40">
        <f>IFERROR(EXP((BO56-0.372)/(0.372*(1-0.372))),"")</f>
        <v/>
      </c>
      <c r="BV56" s="40">
        <f>IFERROR(EXP((BP56-0.415)/(0.415*(1-0.415))),"")</f>
        <v/>
      </c>
      <c r="BW56" s="40">
        <f>IFERROR(EXP((BS56-0.405)/(0.405*(1-0.405))),"")</f>
        <v/>
      </c>
      <c r="BX56" s="40">
        <f>IFERROR(BT56*BU56*BV56*BW56,"")</f>
        <v/>
      </c>
      <c r="BY56" s="40">
        <f>IFERROR(BX56/(1+BX56),"")</f>
        <v/>
      </c>
      <c r="BZ56" s="40">
        <f>IFERROR(EXP(0.15*(SQRT(BH56)-0.5)/(0.5*0.5)),"")</f>
        <v/>
      </c>
      <c r="CA56" s="40">
        <f>IFERROR(IF(BY56&gt;=1,1E9,BY56/(1-BY56)*BZ56),"")</f>
        <v/>
      </c>
      <c r="CB56" s="40">
        <f>IFERROR(CA56/(1+CA56),"")</f>
        <v/>
      </c>
      <c r="CC56" s="42">
        <f>BH56</f>
        <v/>
      </c>
      <c r="CD56" s="42">
        <f>BN56</f>
        <v/>
      </c>
      <c r="CE56" s="42">
        <f>CB56</f>
        <v/>
      </c>
      <c r="CF56" s="43" t="inlineStr">
        <is>
          <t>True systemic observation. Widely known at general level.</t>
        </is>
      </c>
    </row>
    <row r="57" ht="40" customHeight="1">
      <c r="A57" s="48" t="n">
        <v>55</v>
      </c>
      <c r="B57" s="49" t="inlineStr">
        <is>
          <t>Morocco's performance at the 2022 World Cup genuinely united Moroccans across class, region, and generation in a way few events do.</t>
        </is>
      </c>
      <c r="C57" s="48" t="inlineStr">
        <is>
          <t>Social</t>
        </is>
      </c>
      <c r="D57" s="39" t="n">
        <v>0.88</v>
      </c>
      <c r="E57" s="39" t="n">
        <v>0.88</v>
      </c>
      <c r="F57" s="39" t="n">
        <v>0.85</v>
      </c>
      <c r="G57" s="39" t="n">
        <v>0.88</v>
      </c>
      <c r="H57" s="40">
        <f>IFERROR(AVERAGE(D57,E57,F57,G57),"")</f>
        <v/>
      </c>
      <c r="I57" s="39" t="n">
        <v>0.72</v>
      </c>
      <c r="J57" s="39" t="n">
        <v>0.68</v>
      </c>
      <c r="K57" s="39" t="n">
        <v>0.7</v>
      </c>
      <c r="L57" s="39" t="n">
        <v>0.65</v>
      </c>
      <c r="M57" s="40">
        <f>IFERROR(AVERAGE(I57,J57,K57,L57),"")</f>
        <v/>
      </c>
      <c r="N57" s="39" t="n">
        <v>0.62</v>
      </c>
      <c r="O57" s="39" t="n">
        <v>0.85</v>
      </c>
      <c r="P57" s="40">
        <f>IFERROR(IF(H57=0,0,H57^(H57^(-0.5)))*SQRT(M57)*((4*N57+O57)/5),"")</f>
        <v/>
      </c>
      <c r="Q57" s="39" t="n">
        <v>0.32</v>
      </c>
      <c r="R57" s="39" t="n">
        <v>0.9</v>
      </c>
      <c r="S57" s="39" t="n">
        <v>0.85</v>
      </c>
      <c r="T57" s="39" t="n">
        <v>0.85</v>
      </c>
      <c r="U57" s="40">
        <f>IFERROR(((Q57^1.4+T57)/2)*R57*(1-EXP(-4.605*S57)),"")</f>
        <v/>
      </c>
      <c r="V57" s="39" t="n">
        <v>0.68</v>
      </c>
      <c r="W57" s="39" t="n">
        <v>0.75</v>
      </c>
      <c r="X57" s="39" t="n">
        <v>0.6</v>
      </c>
      <c r="Y57" s="39" t="n">
        <v>0.78</v>
      </c>
      <c r="Z57" s="39" t="n">
        <v>0.52</v>
      </c>
      <c r="AA57" s="39" t="n">
        <v>0.78</v>
      </c>
      <c r="AB57" s="40">
        <f>IFERROR(Z57*(Y57*AA57^1.1)^1.1*((3*V57+2*W57+X57)/6)^0.5,"")</f>
        <v/>
      </c>
      <c r="AC57" s="40">
        <f>IFERROR(SQRT(AB57),"")</f>
        <v/>
      </c>
      <c r="AD57" s="39" t="n">
        <v>0.82</v>
      </c>
      <c r="AE57" s="39" t="n">
        <v>0.55</v>
      </c>
      <c r="AF57" s="40">
        <f>IFERROR(AE57*(1-AE57*H57),"")</f>
        <v/>
      </c>
      <c r="AG57" s="39" t="n">
        <v>0.75</v>
      </c>
      <c r="AH57" s="39" t="n">
        <v>0.88</v>
      </c>
      <c r="AI57" s="39" t="n">
        <v>0.82</v>
      </c>
      <c r="AJ57" s="40">
        <f>IFERROR(AH57^2.1*AG57^0.2*(2*AF57+3*AI57+AD57)/6,"")</f>
        <v/>
      </c>
      <c r="AK57" s="40">
        <f>IFERROR(SQRT(AJ57),"")</f>
        <v/>
      </c>
      <c r="AL57" s="39" t="n">
        <v>0.2</v>
      </c>
      <c r="AM57" s="40">
        <f>IFERROR(1-EXP(-AL57),"")</f>
        <v/>
      </c>
      <c r="AN57" s="40">
        <f>IFERROR(4.18*AM57^0.7*(1-AM57)^1.5,"")</f>
        <v/>
      </c>
      <c r="AO57" s="39" t="n">
        <v>0.68</v>
      </c>
      <c r="AP57" s="39" t="n">
        <v>0.55</v>
      </c>
      <c r="AQ57" s="39" t="n">
        <v>0.75</v>
      </c>
      <c r="AR57" s="39" t="n">
        <v>0.9</v>
      </c>
      <c r="AS57" s="40">
        <f>IFERROR(AN57^(1-AO57)*AP57*(4*AQ57*(1-AQ57))*AR57^1.15,"")</f>
        <v/>
      </c>
      <c r="AT57" s="40">
        <f>IFERROR(AS57^(1/3),"")</f>
        <v/>
      </c>
      <c r="AU57" s="39" t="n">
        <v>2</v>
      </c>
      <c r="AV57" s="39" t="n">
        <v>3</v>
      </c>
      <c r="AW57" s="40">
        <f>IFERROR(IF(AV57&lt;=1,AU57,AU57*(1+(AV57-1)*0.6)),"")</f>
        <v/>
      </c>
      <c r="AX57" s="39" t="n">
        <v>0.9</v>
      </c>
      <c r="AY57" s="39" t="n">
        <v>0.48</v>
      </c>
      <c r="AZ57" s="41" t="n">
        <v>0.5</v>
      </c>
      <c r="BA57" s="40">
        <f>IFERROR(AZ57/(1-AZ57),"")</f>
        <v/>
      </c>
      <c r="BB57" s="40">
        <f>IFERROR(EXP((P57-0.301)/(0.301*(1-0.301))),"")</f>
        <v/>
      </c>
      <c r="BC57" s="40">
        <f>IFERROR(EXP((U57-0.354)/(0.354*(1-0.354))),"")</f>
        <v/>
      </c>
      <c r="BD57" s="40">
        <f>IFERROR(AW57,"")</f>
        <v/>
      </c>
      <c r="BE57" s="40">
        <f>IFERROR(EXP((AX57-0.75)/(0.75*(1-0.75))),"")</f>
        <v/>
      </c>
      <c r="BF57" s="40">
        <f>IFERROR(EXP((AY57-0.5)/(0.5*(1-0.5))),"")</f>
        <v/>
      </c>
      <c r="BG57" s="40">
        <f>IFERROR(BA57*BB57*BC57*BD57*BE57*BF57,"")</f>
        <v/>
      </c>
      <c r="BH57" s="40">
        <f>IFERROR(BG57/(1+BG57),"")</f>
        <v/>
      </c>
      <c r="BI57" s="40">
        <f>IFERROR(IF(BH57&gt;=1,1E9,BH57/(1-BH57)),"")</f>
        <v/>
      </c>
      <c r="BJ57" s="40">
        <f>IFERROR(EXP((AC57-0.372)/(0.372*(1-0.372))),"")</f>
        <v/>
      </c>
      <c r="BK57" s="40">
        <f>IFERROR(EXP((AK57-0.415)/(0.415*(1-0.415))),"")</f>
        <v/>
      </c>
      <c r="BL57" s="40">
        <f>IFERROR(EXP((AT57-0.405)/(0.405*(1-0.405))),"")</f>
        <v/>
      </c>
      <c r="BM57" s="40">
        <f>IFERROR(BI57*BJ57*BK57*BL57,"")</f>
        <v/>
      </c>
      <c r="BN57" s="40">
        <f>IFERROR(BM57/(1+BM57),"")</f>
        <v/>
      </c>
      <c r="BO57" s="40">
        <f>IFERROR(IF(AC57&gt;=1,0.999,1-EXP(1-(1-AC57)^(-0.8))),"")</f>
        <v/>
      </c>
      <c r="BP57" s="40">
        <f>IFERROR(IF(AK57&gt;=1,0.999,1-EXP(1-(1-AK57)^(-0.75))),"")</f>
        <v/>
      </c>
      <c r="BQ57" s="40">
        <f>IFERROR(1-EXP(-AL57*(1+AL57)),"")</f>
        <v/>
      </c>
      <c r="BR57" s="40">
        <f>IFERROR(BQ57^(1-AO57)*AP57*(4*AQ57*(1-AQ57))*AR57^1.15,"")</f>
        <v/>
      </c>
      <c r="BS57" s="40">
        <f>IFERROR(IF(BR57^(1/3)&gt;=1,0.999,1-EXP(1-(1-BR57^(1/3))^(-0.7))),"")</f>
        <v/>
      </c>
      <c r="BT57" s="40">
        <f>1</f>
        <v/>
      </c>
      <c r="BU57" s="40">
        <f>IFERROR(EXP((BO57-0.372)/(0.372*(1-0.372))),"")</f>
        <v/>
      </c>
      <c r="BV57" s="40">
        <f>IFERROR(EXP((BP57-0.415)/(0.415*(1-0.415))),"")</f>
        <v/>
      </c>
      <c r="BW57" s="40">
        <f>IFERROR(EXP((BS57-0.405)/(0.405*(1-0.405))),"")</f>
        <v/>
      </c>
      <c r="BX57" s="40">
        <f>IFERROR(BT57*BU57*BV57*BW57,"")</f>
        <v/>
      </c>
      <c r="BY57" s="40">
        <f>IFERROR(BX57/(1+BX57),"")</f>
        <v/>
      </c>
      <c r="BZ57" s="40">
        <f>IFERROR(EXP(0.15*(SQRT(BH57)-0.5)/(0.5*0.5)),"")</f>
        <v/>
      </c>
      <c r="CA57" s="40">
        <f>IFERROR(IF(BY57&gt;=1,1E9,BY57/(1-BY57)*BZ57),"")</f>
        <v/>
      </c>
      <c r="CB57" s="40">
        <f>IFERROR(CA57/(1+CA57),"")</f>
        <v/>
      </c>
      <c r="CC57" s="42">
        <f>BH57</f>
        <v/>
      </c>
      <c r="CD57" s="42">
        <f>BN57</f>
        <v/>
      </c>
      <c r="CE57" s="42">
        <f>CB57</f>
        <v/>
      </c>
      <c r="CF57" s="43" t="inlineStr">
        <is>
          <t>Emotionally very true. One of the few truly unifying events.</t>
        </is>
      </c>
    </row>
    <row r="58" ht="40" customHeight="1">
      <c r="A58" s="48" t="n">
        <v>56</v>
      </c>
      <c r="B58" s="49" t="inlineStr">
        <is>
          <t>The Moroccan government's investment in sports infrastructure as a development strategy comes at the expense of health and education.</t>
        </is>
      </c>
      <c r="C58" s="48" t="inlineStr">
        <is>
          <t>Social</t>
        </is>
      </c>
      <c r="D58" s="39" t="n">
        <v>0.78</v>
      </c>
      <c r="E58" s="39" t="n">
        <v>0.78</v>
      </c>
      <c r="F58" s="39" t="n">
        <v>0.72</v>
      </c>
      <c r="G58" s="39" t="n">
        <v>0.78</v>
      </c>
      <c r="H58" s="40">
        <f>IFERROR(AVERAGE(D58,E58,F58,G58),"")</f>
        <v/>
      </c>
      <c r="I58" s="39" t="n">
        <v>0.65</v>
      </c>
      <c r="J58" s="39" t="n">
        <v>0.62</v>
      </c>
      <c r="K58" s="39" t="n">
        <v>0.65</v>
      </c>
      <c r="L58" s="39" t="n">
        <v>0.6</v>
      </c>
      <c r="M58" s="40">
        <f>IFERROR(AVERAGE(I58,J58,K58,L58),"")</f>
        <v/>
      </c>
      <c r="N58" s="39" t="n">
        <v>0.52</v>
      </c>
      <c r="O58" s="39" t="n">
        <v>0.68</v>
      </c>
      <c r="P58" s="40">
        <f>IFERROR(IF(H58=0,0,H58^(H58^(-0.5)))*SQRT(M58)*((4*N58+O58)/5),"")</f>
        <v/>
      </c>
      <c r="Q58" s="39" t="n">
        <v>0.5</v>
      </c>
      <c r="R58" s="39" t="n">
        <v>0.8</v>
      </c>
      <c r="S58" s="39" t="n">
        <v>0.78</v>
      </c>
      <c r="T58" s="39" t="n">
        <v>0.75</v>
      </c>
      <c r="U58" s="40">
        <f>IFERROR(((Q58^1.4+T58)/2)*R58*(1-EXP(-4.605*S58)),"")</f>
        <v/>
      </c>
      <c r="V58" s="39" t="n">
        <v>0.6</v>
      </c>
      <c r="W58" s="39" t="n">
        <v>0.65</v>
      </c>
      <c r="X58" s="39" t="n">
        <v>0.6</v>
      </c>
      <c r="Y58" s="39" t="n">
        <v>0.65</v>
      </c>
      <c r="Z58" s="39" t="n">
        <v>0.45</v>
      </c>
      <c r="AA58" s="39" t="n">
        <v>0.68</v>
      </c>
      <c r="AB58" s="40">
        <f>IFERROR(Z58*(Y58*AA58^1.1)^1.1*((3*V58+2*W58+X58)/6)^0.5,"")</f>
        <v/>
      </c>
      <c r="AC58" s="40">
        <f>IFERROR(SQRT(AB58),"")</f>
        <v/>
      </c>
      <c r="AD58" s="39" t="n">
        <v>0.6</v>
      </c>
      <c r="AE58" s="39" t="n">
        <v>0.42</v>
      </c>
      <c r="AF58" s="40">
        <f>IFERROR(AE58*(1-AE58*H58),"")</f>
        <v/>
      </c>
      <c r="AG58" s="39" t="n">
        <v>0.58</v>
      </c>
      <c r="AH58" s="39" t="n">
        <v>0.48</v>
      </c>
      <c r="AI58" s="39" t="n">
        <v>0.7</v>
      </c>
      <c r="AJ58" s="40">
        <f>IFERROR(AH58^2.1*AG58^0.2*(2*AF58+3*AI58+AD58)/6,"")</f>
        <v/>
      </c>
      <c r="AK58" s="40">
        <f>IFERROR(SQRT(AJ58),"")</f>
        <v/>
      </c>
      <c r="AL58" s="39" t="n">
        <v>0.55</v>
      </c>
      <c r="AM58" s="40">
        <f>IFERROR(1-EXP(-AL58),"")</f>
        <v/>
      </c>
      <c r="AN58" s="40">
        <f>IFERROR(4.18*AM58^0.7*(1-AM58)^1.5,"")</f>
        <v/>
      </c>
      <c r="AO58" s="39" t="n">
        <v>0.65</v>
      </c>
      <c r="AP58" s="39" t="n">
        <v>0.5</v>
      </c>
      <c r="AQ58" s="39" t="n">
        <v>0.62</v>
      </c>
      <c r="AR58" s="39" t="n">
        <v>0.72</v>
      </c>
      <c r="AS58" s="40">
        <f>IFERROR(AN58^(1-AO58)*AP58*(4*AQ58*(1-AQ58))*AR58^1.15,"")</f>
        <v/>
      </c>
      <c r="AT58" s="40">
        <f>IFERROR(AS58^(1/3),"")</f>
        <v/>
      </c>
      <c r="AU58" s="39" t="n">
        <v>1.3</v>
      </c>
      <c r="AV58" s="39" t="n">
        <v>2</v>
      </c>
      <c r="AW58" s="40">
        <f>IFERROR(IF(AV58&lt;=1,AU58,AU58*(1+(AV58-1)*0.6)),"")</f>
        <v/>
      </c>
      <c r="AX58" s="39" t="n">
        <v>0.68</v>
      </c>
      <c r="AY58" s="39" t="n">
        <v>0.28</v>
      </c>
      <c r="AZ58" s="41" t="n">
        <v>0.5</v>
      </c>
      <c r="BA58" s="40">
        <f>IFERROR(AZ58/(1-AZ58),"")</f>
        <v/>
      </c>
      <c r="BB58" s="40">
        <f>IFERROR(EXP((P58-0.301)/(0.301*(1-0.301))),"")</f>
        <v/>
      </c>
      <c r="BC58" s="40">
        <f>IFERROR(EXP((U58-0.354)/(0.354*(1-0.354))),"")</f>
        <v/>
      </c>
      <c r="BD58" s="40">
        <f>IFERROR(AW58,"")</f>
        <v/>
      </c>
      <c r="BE58" s="40">
        <f>IFERROR(EXP((AX58-0.75)/(0.75*(1-0.75))),"")</f>
        <v/>
      </c>
      <c r="BF58" s="40">
        <f>IFERROR(EXP((AY58-0.5)/(0.5*(1-0.5))),"")</f>
        <v/>
      </c>
      <c r="BG58" s="40">
        <f>IFERROR(BA58*BB58*BC58*BD58*BE58*BF58,"")</f>
        <v/>
      </c>
      <c r="BH58" s="40">
        <f>IFERROR(BG58/(1+BG58),"")</f>
        <v/>
      </c>
      <c r="BI58" s="40">
        <f>IFERROR(IF(BH58&gt;=1,1E9,BH58/(1-BH58)),"")</f>
        <v/>
      </c>
      <c r="BJ58" s="40">
        <f>IFERROR(EXP((AC58-0.372)/(0.372*(1-0.372))),"")</f>
        <v/>
      </c>
      <c r="BK58" s="40">
        <f>IFERROR(EXP((AK58-0.415)/(0.415*(1-0.415))),"")</f>
        <v/>
      </c>
      <c r="BL58" s="40">
        <f>IFERROR(EXP((AT58-0.405)/(0.405*(1-0.405))),"")</f>
        <v/>
      </c>
      <c r="BM58" s="40">
        <f>IFERROR(BI58*BJ58*BK58*BL58,"")</f>
        <v/>
      </c>
      <c r="BN58" s="40">
        <f>IFERROR(BM58/(1+BM58),"")</f>
        <v/>
      </c>
      <c r="BO58" s="40">
        <f>IFERROR(IF(AC58&gt;=1,0.999,1-EXP(1-(1-AC58)^(-0.8))),"")</f>
        <v/>
      </c>
      <c r="BP58" s="40">
        <f>IFERROR(IF(AK58&gt;=1,0.999,1-EXP(1-(1-AK58)^(-0.75))),"")</f>
        <v/>
      </c>
      <c r="BQ58" s="40">
        <f>IFERROR(1-EXP(-AL58*(1+AL58)),"")</f>
        <v/>
      </c>
      <c r="BR58" s="40">
        <f>IFERROR(BQ58^(1-AO58)*AP58*(4*AQ58*(1-AQ58))*AR58^1.15,"")</f>
        <v/>
      </c>
      <c r="BS58" s="40">
        <f>IFERROR(IF(BR58^(1/3)&gt;=1,0.999,1-EXP(1-(1-BR58^(1/3))^(-0.7))),"")</f>
        <v/>
      </c>
      <c r="BT58" s="40">
        <f>1</f>
        <v/>
      </c>
      <c r="BU58" s="40">
        <f>IFERROR(EXP((BO58-0.372)/(0.372*(1-0.372))),"")</f>
        <v/>
      </c>
      <c r="BV58" s="40">
        <f>IFERROR(EXP((BP58-0.415)/(0.415*(1-0.415))),"")</f>
        <v/>
      </c>
      <c r="BW58" s="40">
        <f>IFERROR(EXP((BS58-0.405)/(0.405*(1-0.405))),"")</f>
        <v/>
      </c>
      <c r="BX58" s="40">
        <f>IFERROR(BT58*BU58*BV58*BW58,"")</f>
        <v/>
      </c>
      <c r="BY58" s="40">
        <f>IFERROR(BX58/(1+BX58),"")</f>
        <v/>
      </c>
      <c r="BZ58" s="40">
        <f>IFERROR(EXP(0.15*(SQRT(BH58)-0.5)/(0.5*0.5)),"")</f>
        <v/>
      </c>
      <c r="CA58" s="40">
        <f>IFERROR(IF(BY58&gt;=1,1E9,BY58/(1-BY58)*BZ58),"")</f>
        <v/>
      </c>
      <c r="CB58" s="40">
        <f>IFERROR(CA58/(1+CA58),"")</f>
        <v/>
      </c>
      <c r="CC58" s="42">
        <f>BH58</f>
        <v/>
      </c>
      <c r="CD58" s="42">
        <f>BN58</f>
        <v/>
      </c>
      <c r="CE58" s="42">
        <f>CB58</f>
        <v/>
      </c>
      <c r="CF58" s="43" t="inlineStr">
        <is>
          <t>Contested. AB_r=0.48 - many people strongly disagree (love football).</t>
        </is>
      </c>
    </row>
    <row r="59" ht="40" customHeight="1">
      <c r="A59" s="48" t="n">
        <v>57</v>
      </c>
      <c r="B59" s="49" t="inlineStr">
        <is>
          <t>For many lower-income Moroccans, following the national football team is one of the few widely accessible sources of collective joy and release.</t>
        </is>
      </c>
      <c r="C59" s="48" t="inlineStr">
        <is>
          <t>Social</t>
        </is>
      </c>
      <c r="D59" s="39" t="n">
        <v>0.85</v>
      </c>
      <c r="E59" s="39" t="n">
        <v>0.85</v>
      </c>
      <c r="F59" s="39" t="n">
        <v>0.82</v>
      </c>
      <c r="G59" s="39" t="n">
        <v>0.85</v>
      </c>
      <c r="H59" s="40">
        <f>IFERROR(AVERAGE(D59,E59,F59,G59),"")</f>
        <v/>
      </c>
      <c r="I59" s="39" t="n">
        <v>0.68</v>
      </c>
      <c r="J59" s="39" t="n">
        <v>0.65</v>
      </c>
      <c r="K59" s="39" t="n">
        <v>0.68</v>
      </c>
      <c r="L59" s="39" t="n">
        <v>0.62</v>
      </c>
      <c r="M59" s="40">
        <f>IFERROR(AVERAGE(I59,J59,K59,L59),"")</f>
        <v/>
      </c>
      <c r="N59" s="39" t="n">
        <v>0.55</v>
      </c>
      <c r="O59" s="39" t="n">
        <v>0.72</v>
      </c>
      <c r="P59" s="40">
        <f>IFERROR(IF(H59=0,0,H59^(H59^(-0.5)))*SQRT(M59)*((4*N59+O59)/5),"")</f>
        <v/>
      </c>
      <c r="Q59" s="39" t="n">
        <v>0.48</v>
      </c>
      <c r="R59" s="39" t="n">
        <v>0.82</v>
      </c>
      <c r="S59" s="39" t="n">
        <v>0.8</v>
      </c>
      <c r="T59" s="39" t="n">
        <v>0.78</v>
      </c>
      <c r="U59" s="40">
        <f>IFERROR(((Q59^1.4+T59)/2)*R59*(1-EXP(-4.605*S59)),"")</f>
        <v/>
      </c>
      <c r="V59" s="39" t="n">
        <v>0.62</v>
      </c>
      <c r="W59" s="39" t="n">
        <v>0.68</v>
      </c>
      <c r="X59" s="39" t="n">
        <v>0.6</v>
      </c>
      <c r="Y59" s="39" t="n">
        <v>0.68</v>
      </c>
      <c r="Z59" s="39" t="n">
        <v>0.48</v>
      </c>
      <c r="AA59" s="39" t="n">
        <v>0.68</v>
      </c>
      <c r="AB59" s="40">
        <f>IFERROR(Z59*(Y59*AA59^1.1)^1.1*((3*V59+2*W59+X59)/6)^0.5,"")</f>
        <v/>
      </c>
      <c r="AC59" s="40">
        <f>IFERROR(SQRT(AB59),"")</f>
        <v/>
      </c>
      <c r="AD59" s="39" t="n">
        <v>0.65</v>
      </c>
      <c r="AE59" s="39" t="n">
        <v>0.45</v>
      </c>
      <c r="AF59" s="40">
        <f>IFERROR(AE59*(1-AE59*H59),"")</f>
        <v/>
      </c>
      <c r="AG59" s="39" t="n">
        <v>0.62</v>
      </c>
      <c r="AH59" s="39" t="n">
        <v>0.72</v>
      </c>
      <c r="AI59" s="39" t="n">
        <v>0.72</v>
      </c>
      <c r="AJ59" s="40">
        <f>IFERROR(AH59^2.1*AG59^0.2*(2*AF59+3*AI59+AD59)/6,"")</f>
        <v/>
      </c>
      <c r="AK59" s="40">
        <f>IFERROR(SQRT(AJ59),"")</f>
        <v/>
      </c>
      <c r="AL59" s="39" t="n">
        <v>0.55</v>
      </c>
      <c r="AM59" s="40">
        <f>IFERROR(1-EXP(-AL59),"")</f>
        <v/>
      </c>
      <c r="AN59" s="40">
        <f>IFERROR(4.18*AM59^0.7*(1-AM59)^1.5,"")</f>
        <v/>
      </c>
      <c r="AO59" s="39" t="n">
        <v>0.65</v>
      </c>
      <c r="AP59" s="39" t="n">
        <v>0.52</v>
      </c>
      <c r="AQ59" s="39" t="n">
        <v>0.65</v>
      </c>
      <c r="AR59" s="39" t="n">
        <v>0.82</v>
      </c>
      <c r="AS59" s="40">
        <f>IFERROR(AN59^(1-AO59)*AP59*(4*AQ59*(1-AQ59))*AR59^1.15,"")</f>
        <v/>
      </c>
      <c r="AT59" s="40">
        <f>IFERROR(AS59^(1/3),"")</f>
        <v/>
      </c>
      <c r="AU59" s="39" t="n">
        <v>1.4</v>
      </c>
      <c r="AV59" s="39" t="n">
        <v>2</v>
      </c>
      <c r="AW59" s="40">
        <f>IFERROR(IF(AV59&lt;=1,AU59,AU59*(1+(AV59-1)*0.6)),"")</f>
        <v/>
      </c>
      <c r="AX59" s="39" t="n">
        <v>0.78</v>
      </c>
      <c r="AY59" s="39" t="n">
        <v>0.3</v>
      </c>
      <c r="AZ59" s="41" t="n">
        <v>0.5</v>
      </c>
      <c r="BA59" s="40">
        <f>IFERROR(AZ59/(1-AZ59),"")</f>
        <v/>
      </c>
      <c r="BB59" s="40">
        <f>IFERROR(EXP((P59-0.301)/(0.301*(1-0.301))),"")</f>
        <v/>
      </c>
      <c r="BC59" s="40">
        <f>IFERROR(EXP((U59-0.354)/(0.354*(1-0.354))),"")</f>
        <v/>
      </c>
      <c r="BD59" s="40">
        <f>IFERROR(AW59,"")</f>
        <v/>
      </c>
      <c r="BE59" s="40">
        <f>IFERROR(EXP((AX59-0.75)/(0.75*(1-0.75))),"")</f>
        <v/>
      </c>
      <c r="BF59" s="40">
        <f>IFERROR(EXP((AY59-0.5)/(0.5*(1-0.5))),"")</f>
        <v/>
      </c>
      <c r="BG59" s="40">
        <f>IFERROR(BA59*BB59*BC59*BD59*BE59*BF59,"")</f>
        <v/>
      </c>
      <c r="BH59" s="40">
        <f>IFERROR(BG59/(1+BG59),"")</f>
        <v/>
      </c>
      <c r="BI59" s="40">
        <f>IFERROR(IF(BH59&gt;=1,1E9,BH59/(1-BH59)),"")</f>
        <v/>
      </c>
      <c r="BJ59" s="40">
        <f>IFERROR(EXP((AC59-0.372)/(0.372*(1-0.372))),"")</f>
        <v/>
      </c>
      <c r="BK59" s="40">
        <f>IFERROR(EXP((AK59-0.415)/(0.415*(1-0.415))),"")</f>
        <v/>
      </c>
      <c r="BL59" s="40">
        <f>IFERROR(EXP((AT59-0.405)/(0.405*(1-0.405))),"")</f>
        <v/>
      </c>
      <c r="BM59" s="40">
        <f>IFERROR(BI59*BJ59*BK59*BL59,"")</f>
        <v/>
      </c>
      <c r="BN59" s="40">
        <f>IFERROR(BM59/(1+BM59),"")</f>
        <v/>
      </c>
      <c r="BO59" s="40">
        <f>IFERROR(IF(AC59&gt;=1,0.999,1-EXP(1-(1-AC59)^(-0.8))),"")</f>
        <v/>
      </c>
      <c r="BP59" s="40">
        <f>IFERROR(IF(AK59&gt;=1,0.999,1-EXP(1-(1-AK59)^(-0.75))),"")</f>
        <v/>
      </c>
      <c r="BQ59" s="40">
        <f>IFERROR(1-EXP(-AL59*(1+AL59)),"")</f>
        <v/>
      </c>
      <c r="BR59" s="40">
        <f>IFERROR(BQ59^(1-AO59)*AP59*(4*AQ59*(1-AQ59))*AR59^1.15,"")</f>
        <v/>
      </c>
      <c r="BS59" s="40">
        <f>IFERROR(IF(BR59^(1/3)&gt;=1,0.999,1-EXP(1-(1-BR59^(1/3))^(-0.7))),"")</f>
        <v/>
      </c>
      <c r="BT59" s="40">
        <f>1</f>
        <v/>
      </c>
      <c r="BU59" s="40">
        <f>IFERROR(EXP((BO59-0.372)/(0.372*(1-0.372))),"")</f>
        <v/>
      </c>
      <c r="BV59" s="40">
        <f>IFERROR(EXP((BP59-0.415)/(0.415*(1-0.415))),"")</f>
        <v/>
      </c>
      <c r="BW59" s="40">
        <f>IFERROR(EXP((BS59-0.405)/(0.405*(1-0.405))),"")</f>
        <v/>
      </c>
      <c r="BX59" s="40">
        <f>IFERROR(BT59*BU59*BV59*BW59,"")</f>
        <v/>
      </c>
      <c r="BY59" s="40">
        <f>IFERROR(BX59/(1+BX59),"")</f>
        <v/>
      </c>
      <c r="BZ59" s="40">
        <f>IFERROR(EXP(0.15*(SQRT(BH59)-0.5)/(0.5*0.5)),"")</f>
        <v/>
      </c>
      <c r="CA59" s="40">
        <f>IFERROR(IF(BY59&gt;=1,1E9,BY59/(1-BY59)*BZ59),"")</f>
        <v/>
      </c>
      <c r="CB59" s="40">
        <f>IFERROR(CA59/(1+CA59),"")</f>
        <v/>
      </c>
      <c r="CC59" s="42">
        <f>BH59</f>
        <v/>
      </c>
      <c r="CD59" s="42">
        <f>BN59</f>
        <v/>
      </c>
      <c r="CE59" s="42">
        <f>CB59</f>
        <v/>
      </c>
      <c r="CF59" s="43" t="inlineStr">
        <is>
          <t>Receiver's sociological observation. True and empathetic.</t>
        </is>
      </c>
    </row>
    <row r="60" ht="40" customHeight="1">
      <c r="A60" s="48" t="n">
        <v>58</v>
      </c>
      <c r="B60" s="49" t="inlineStr">
        <is>
          <t>The 2030 World Cup co-hosting by Morocco, Spain, and Portugal will bring lasting economic benefit to ordinary Moroccans.</t>
        </is>
      </c>
      <c r="C60" s="48" t="inlineStr">
        <is>
          <t>Social</t>
        </is>
      </c>
      <c r="D60" s="39" t="n">
        <v>0.72</v>
      </c>
      <c r="E60" s="39" t="n">
        <v>0.72</v>
      </c>
      <c r="F60" s="39" t="n">
        <v>0.65</v>
      </c>
      <c r="G60" s="39" t="n">
        <v>0.7</v>
      </c>
      <c r="H60" s="40">
        <f>IFERROR(AVERAGE(D60,E60,F60,G60),"")</f>
        <v/>
      </c>
      <c r="I60" s="39" t="n">
        <v>0.62</v>
      </c>
      <c r="J60" s="39" t="n">
        <v>0.58</v>
      </c>
      <c r="K60" s="39" t="n">
        <v>0.6</v>
      </c>
      <c r="L60" s="39" t="n">
        <v>0.55</v>
      </c>
      <c r="M60" s="40">
        <f>IFERROR(AVERAGE(I60,J60,K60,L60),"")</f>
        <v/>
      </c>
      <c r="N60" s="39" t="n">
        <v>0.52</v>
      </c>
      <c r="O60" s="39" t="n">
        <v>0.65</v>
      </c>
      <c r="P60" s="40">
        <f>IFERROR(IF(H60=0,0,H60^(H60^(-0.5)))*SQRT(M60)*((4*N60+O60)/5),"")</f>
        <v/>
      </c>
      <c r="Q60" s="39" t="n">
        <v>0.55</v>
      </c>
      <c r="R60" s="39" t="n">
        <v>0.7</v>
      </c>
      <c r="S60" s="39" t="n">
        <v>0.45</v>
      </c>
      <c r="T60" s="39" t="n">
        <v>0.68</v>
      </c>
      <c r="U60" s="40">
        <f>IFERROR(((Q60^1.4+T60)/2)*R60*(1-EXP(-4.605*S60)),"")</f>
        <v/>
      </c>
      <c r="V60" s="39" t="n">
        <v>0.58</v>
      </c>
      <c r="W60" s="39" t="n">
        <v>0.62</v>
      </c>
      <c r="X60" s="39" t="n">
        <v>0.6</v>
      </c>
      <c r="Y60" s="39" t="n">
        <v>0.62</v>
      </c>
      <c r="Z60" s="39" t="n">
        <v>0.48</v>
      </c>
      <c r="AA60" s="39" t="n">
        <v>0.65</v>
      </c>
      <c r="AB60" s="40">
        <f>IFERROR(Z60*(Y60*AA60^1.1)^1.1*((3*V60+2*W60+X60)/6)^0.5,"")</f>
        <v/>
      </c>
      <c r="AC60" s="40">
        <f>IFERROR(SQRT(AB60),"")</f>
        <v/>
      </c>
      <c r="AD60" s="39" t="n">
        <v>0.58</v>
      </c>
      <c r="AE60" s="39" t="n">
        <v>0.42</v>
      </c>
      <c r="AF60" s="40">
        <f>IFERROR(AE60*(1-AE60*H60),"")</f>
        <v/>
      </c>
      <c r="AG60" s="39" t="n">
        <v>0.58</v>
      </c>
      <c r="AH60" s="39" t="n">
        <v>0.62</v>
      </c>
      <c r="AI60" s="39" t="n">
        <v>0.65</v>
      </c>
      <c r="AJ60" s="40">
        <f>IFERROR(AH60^2.1*AG60^0.2*(2*AF60+3*AI60+AD60)/6,"")</f>
        <v/>
      </c>
      <c r="AK60" s="40">
        <f>IFERROR(SQRT(AJ60),"")</f>
        <v/>
      </c>
      <c r="AL60" s="39" t="n">
        <v>0.7</v>
      </c>
      <c r="AM60" s="40">
        <f>IFERROR(1-EXP(-AL60),"")</f>
        <v/>
      </c>
      <c r="AN60" s="40">
        <f>IFERROR(4.18*AM60^0.7*(1-AM60)^1.5,"")</f>
        <v/>
      </c>
      <c r="AO60" s="39" t="n">
        <v>0.62</v>
      </c>
      <c r="AP60" s="39" t="n">
        <v>0.5</v>
      </c>
      <c r="AQ60" s="39" t="n">
        <v>0.6</v>
      </c>
      <c r="AR60" s="39" t="n">
        <v>0.68</v>
      </c>
      <c r="AS60" s="40">
        <f>IFERROR(AN60^(1-AO60)*AP60*(4*AQ60*(1-AQ60))*AR60^1.15,"")</f>
        <v/>
      </c>
      <c r="AT60" s="40">
        <f>IFERROR(AS60^(1/3),"")</f>
        <v/>
      </c>
      <c r="AU60" s="39" t="n">
        <v>1.2</v>
      </c>
      <c r="AV60" s="39" t="n">
        <v>2</v>
      </c>
      <c r="AW60" s="40">
        <f>IFERROR(IF(AV60&lt;=1,AU60,AU60*(1+(AV60-1)*0.6)),"")</f>
        <v/>
      </c>
      <c r="AX60" s="39" t="n">
        <v>0.58</v>
      </c>
      <c r="AY60" s="39" t="n">
        <v>0.22</v>
      </c>
      <c r="AZ60" s="41" t="n">
        <v>0.5</v>
      </c>
      <c r="BA60" s="40">
        <f>IFERROR(AZ60/(1-AZ60),"")</f>
        <v/>
      </c>
      <c r="BB60" s="40">
        <f>IFERROR(EXP((P60-0.301)/(0.301*(1-0.301))),"")</f>
        <v/>
      </c>
      <c r="BC60" s="40">
        <f>IFERROR(EXP((U60-0.354)/(0.354*(1-0.354))),"")</f>
        <v/>
      </c>
      <c r="BD60" s="40">
        <f>IFERROR(AW60,"")</f>
        <v/>
      </c>
      <c r="BE60" s="40">
        <f>IFERROR(EXP((AX60-0.75)/(0.75*(1-0.75))),"")</f>
        <v/>
      </c>
      <c r="BF60" s="40">
        <f>IFERROR(EXP((AY60-0.5)/(0.5*(1-0.5))),"")</f>
        <v/>
      </c>
      <c r="BG60" s="40">
        <f>IFERROR(BA60*BB60*BC60*BD60*BE60*BF60,"")</f>
        <v/>
      </c>
      <c r="BH60" s="40">
        <f>IFERROR(BG60/(1+BG60),"")</f>
        <v/>
      </c>
      <c r="BI60" s="40">
        <f>IFERROR(IF(BH60&gt;=1,1E9,BH60/(1-BH60)),"")</f>
        <v/>
      </c>
      <c r="BJ60" s="40">
        <f>IFERROR(EXP((AC60-0.372)/(0.372*(1-0.372))),"")</f>
        <v/>
      </c>
      <c r="BK60" s="40">
        <f>IFERROR(EXP((AK60-0.415)/(0.415*(1-0.415))),"")</f>
        <v/>
      </c>
      <c r="BL60" s="40">
        <f>IFERROR(EXP((AT60-0.405)/(0.405*(1-0.405))),"")</f>
        <v/>
      </c>
      <c r="BM60" s="40">
        <f>IFERROR(BI60*BJ60*BK60*BL60,"")</f>
        <v/>
      </c>
      <c r="BN60" s="40">
        <f>IFERROR(BM60/(1+BM60),"")</f>
        <v/>
      </c>
      <c r="BO60" s="40">
        <f>IFERROR(IF(AC60&gt;=1,0.999,1-EXP(1-(1-AC60)^(-0.8))),"")</f>
        <v/>
      </c>
      <c r="BP60" s="40">
        <f>IFERROR(IF(AK60&gt;=1,0.999,1-EXP(1-(1-AK60)^(-0.75))),"")</f>
        <v/>
      </c>
      <c r="BQ60" s="40">
        <f>IFERROR(1-EXP(-AL60*(1+AL60)),"")</f>
        <v/>
      </c>
      <c r="BR60" s="40">
        <f>IFERROR(BQ60^(1-AO60)*AP60*(4*AQ60*(1-AQ60))*AR60^1.15,"")</f>
        <v/>
      </c>
      <c r="BS60" s="40">
        <f>IFERROR(IF(BR60^(1/3)&gt;=1,0.999,1-EXP(1-(1-BR60^(1/3))^(-0.7))),"")</f>
        <v/>
      </c>
      <c r="BT60" s="40">
        <f>1</f>
        <v/>
      </c>
      <c r="BU60" s="40">
        <f>IFERROR(EXP((BO60-0.372)/(0.372*(1-0.372))),"")</f>
        <v/>
      </c>
      <c r="BV60" s="40">
        <f>IFERROR(EXP((BP60-0.415)/(0.415*(1-0.415))),"")</f>
        <v/>
      </c>
      <c r="BW60" s="40">
        <f>IFERROR(EXP((BS60-0.405)/(0.405*(1-0.405))),"")</f>
        <v/>
      </c>
      <c r="BX60" s="40">
        <f>IFERROR(BT60*BU60*BV60*BW60,"")</f>
        <v/>
      </c>
      <c r="BY60" s="40">
        <f>IFERROR(BX60/(1+BX60),"")</f>
        <v/>
      </c>
      <c r="BZ60" s="40">
        <f>IFERROR(EXP(0.15*(SQRT(BH60)-0.5)/(0.5*0.5)),"")</f>
        <v/>
      </c>
      <c r="CA60" s="40">
        <f>IFERROR(IF(BY60&gt;=1,1E9,BY60/(1-BY60)*BZ60),"")</f>
        <v/>
      </c>
      <c r="CB60" s="40">
        <f>IFERROR(CA60/(1+CA60),"")</f>
        <v/>
      </c>
      <c r="CC60" s="42">
        <f>BH60</f>
        <v/>
      </c>
      <c r="CD60" s="42">
        <f>BN60</f>
        <v/>
      </c>
      <c r="CE60" s="42">
        <f>CB60</f>
        <v/>
      </c>
      <c r="CF60" s="43" t="inlineStr">
        <is>
          <t>Speculative. H_f=0.45. Brazil/Qatar examples give mixed signals.</t>
        </is>
      </c>
    </row>
    <row r="61" ht="40" customHeight="1">
      <c r="A61" s="48" t="n">
        <v>59</v>
      </c>
      <c r="B61" s="49" t="inlineStr">
        <is>
          <t>The gap in values, lifestyle expectations, and worldview between Moroccan parents and their adult children is significantly larger than in Western European families.</t>
        </is>
      </c>
      <c r="C61" s="48" t="inlineStr">
        <is>
          <t>Social</t>
        </is>
      </c>
      <c r="D61" s="39" t="n">
        <v>0.82</v>
      </c>
      <c r="E61" s="39" t="n">
        <v>0.82</v>
      </c>
      <c r="F61" s="39" t="n">
        <v>0.8</v>
      </c>
      <c r="G61" s="39" t="n">
        <v>0.82</v>
      </c>
      <c r="H61" s="40">
        <f>IFERROR(AVERAGE(D61,E61,F61,G61),"")</f>
        <v/>
      </c>
      <c r="I61" s="39" t="n">
        <v>0.65</v>
      </c>
      <c r="J61" s="39" t="n">
        <v>0.62</v>
      </c>
      <c r="K61" s="39" t="n">
        <v>0.65</v>
      </c>
      <c r="L61" s="39" t="n">
        <v>0.6</v>
      </c>
      <c r="M61" s="40">
        <f>IFERROR(AVERAGE(I61,J61,K61,L61),"")</f>
        <v/>
      </c>
      <c r="N61" s="39" t="n">
        <v>0.55</v>
      </c>
      <c r="O61" s="39" t="n">
        <v>0.7</v>
      </c>
      <c r="P61" s="40">
        <f>IFERROR(IF(H61=0,0,H61^(H61^(-0.5)))*SQRT(M61)*((4*N61+O61)/5),"")</f>
        <v/>
      </c>
      <c r="Q61" s="39" t="n">
        <v>0.5</v>
      </c>
      <c r="R61" s="39" t="n">
        <v>0.8</v>
      </c>
      <c r="S61" s="39" t="n">
        <v>0.55</v>
      </c>
      <c r="T61" s="39" t="n">
        <v>0.72</v>
      </c>
      <c r="U61" s="40">
        <f>IFERROR(((Q61^1.4+T61)/2)*R61*(1-EXP(-4.605*S61)),"")</f>
        <v/>
      </c>
      <c r="V61" s="39" t="n">
        <v>0.6</v>
      </c>
      <c r="W61" s="39" t="n">
        <v>0.65</v>
      </c>
      <c r="X61" s="39" t="n">
        <v>0.6</v>
      </c>
      <c r="Y61" s="39" t="n">
        <v>0.65</v>
      </c>
      <c r="Z61" s="39" t="n">
        <v>0.45</v>
      </c>
      <c r="AA61" s="39" t="n">
        <v>0.65</v>
      </c>
      <c r="AB61" s="40">
        <f>IFERROR(Z61*(Y61*AA61^1.1)^1.1*((3*V61+2*W61+X61)/6)^0.5,"")</f>
        <v/>
      </c>
      <c r="AC61" s="40">
        <f>IFERROR(SQRT(AB61),"")</f>
        <v/>
      </c>
      <c r="AD61" s="39" t="n">
        <v>0.62</v>
      </c>
      <c r="AE61" s="39" t="n">
        <v>0.4</v>
      </c>
      <c r="AF61" s="40">
        <f>IFERROR(AE61*(1-AE61*H61),"")</f>
        <v/>
      </c>
      <c r="AG61" s="39" t="n">
        <v>0.58</v>
      </c>
      <c r="AH61" s="39" t="n">
        <v>0.68</v>
      </c>
      <c r="AI61" s="39" t="n">
        <v>0.7</v>
      </c>
      <c r="AJ61" s="40">
        <f>IFERROR(AH61^2.1*AG61^0.2*(2*AF61+3*AI61+AD61)/6,"")</f>
        <v/>
      </c>
      <c r="AK61" s="40">
        <f>IFERROR(SQRT(AJ61),"")</f>
        <v/>
      </c>
      <c r="AL61" s="39" t="n">
        <v>0.55</v>
      </c>
      <c r="AM61" s="40">
        <f>IFERROR(1-EXP(-AL61),"")</f>
        <v/>
      </c>
      <c r="AN61" s="40">
        <f>IFERROR(4.18*AM61^0.7*(1-AM61)^1.5,"")</f>
        <v/>
      </c>
      <c r="AO61" s="39" t="n">
        <v>0.65</v>
      </c>
      <c r="AP61" s="39" t="n">
        <v>0.52</v>
      </c>
      <c r="AQ61" s="39" t="n">
        <v>0.65</v>
      </c>
      <c r="AR61" s="39" t="n">
        <v>0.75</v>
      </c>
      <c r="AS61" s="40">
        <f>IFERROR(AN61^(1-AO61)*AP61*(4*AQ61*(1-AQ61))*AR61^1.15,"")</f>
        <v/>
      </c>
      <c r="AT61" s="40">
        <f>IFERROR(AS61^(1/3),"")</f>
        <v/>
      </c>
      <c r="AU61" s="39" t="n">
        <v>1.3</v>
      </c>
      <c r="AV61" s="39" t="n">
        <v>2</v>
      </c>
      <c r="AW61" s="40">
        <f>IFERROR(IF(AV61&lt;=1,AU61,AU61*(1+(AV61-1)*0.6)),"")</f>
        <v/>
      </c>
      <c r="AX61" s="39" t="n">
        <v>0.7</v>
      </c>
      <c r="AY61" s="39" t="n">
        <v>0.28</v>
      </c>
      <c r="AZ61" s="41" t="n">
        <v>0.5</v>
      </c>
      <c r="BA61" s="40">
        <f>IFERROR(AZ61/(1-AZ61),"")</f>
        <v/>
      </c>
      <c r="BB61" s="40">
        <f>IFERROR(EXP((P61-0.301)/(0.301*(1-0.301))),"")</f>
        <v/>
      </c>
      <c r="BC61" s="40">
        <f>IFERROR(EXP((U61-0.354)/(0.354*(1-0.354))),"")</f>
        <v/>
      </c>
      <c r="BD61" s="40">
        <f>IFERROR(AW61,"")</f>
        <v/>
      </c>
      <c r="BE61" s="40">
        <f>IFERROR(EXP((AX61-0.75)/(0.75*(1-0.75))),"")</f>
        <v/>
      </c>
      <c r="BF61" s="40">
        <f>IFERROR(EXP((AY61-0.5)/(0.5*(1-0.5))),"")</f>
        <v/>
      </c>
      <c r="BG61" s="40">
        <f>IFERROR(BA61*BB61*BC61*BD61*BE61*BF61,"")</f>
        <v/>
      </c>
      <c r="BH61" s="40">
        <f>IFERROR(BG61/(1+BG61),"")</f>
        <v/>
      </c>
      <c r="BI61" s="40">
        <f>IFERROR(IF(BH61&gt;=1,1E9,BH61/(1-BH61)),"")</f>
        <v/>
      </c>
      <c r="BJ61" s="40">
        <f>IFERROR(EXP((AC61-0.372)/(0.372*(1-0.372))),"")</f>
        <v/>
      </c>
      <c r="BK61" s="40">
        <f>IFERROR(EXP((AK61-0.415)/(0.415*(1-0.415))),"")</f>
        <v/>
      </c>
      <c r="BL61" s="40">
        <f>IFERROR(EXP((AT61-0.405)/(0.405*(1-0.405))),"")</f>
        <v/>
      </c>
      <c r="BM61" s="40">
        <f>IFERROR(BI61*BJ61*BK61*BL61,"")</f>
        <v/>
      </c>
      <c r="BN61" s="40">
        <f>IFERROR(BM61/(1+BM61),"")</f>
        <v/>
      </c>
      <c r="BO61" s="40">
        <f>IFERROR(IF(AC61&gt;=1,0.999,1-EXP(1-(1-AC61)^(-0.8))),"")</f>
        <v/>
      </c>
      <c r="BP61" s="40">
        <f>IFERROR(IF(AK61&gt;=1,0.999,1-EXP(1-(1-AK61)^(-0.75))),"")</f>
        <v/>
      </c>
      <c r="BQ61" s="40">
        <f>IFERROR(1-EXP(-AL61*(1+AL61)),"")</f>
        <v/>
      </c>
      <c r="BR61" s="40">
        <f>IFERROR(BQ61^(1-AO61)*AP61*(4*AQ61*(1-AQ61))*AR61^1.15,"")</f>
        <v/>
      </c>
      <c r="BS61" s="40">
        <f>IFERROR(IF(BR61^(1/3)&gt;=1,0.999,1-EXP(1-(1-BR61^(1/3))^(-0.7))),"")</f>
        <v/>
      </c>
      <c r="BT61" s="40">
        <f>1</f>
        <v/>
      </c>
      <c r="BU61" s="40">
        <f>IFERROR(EXP((BO61-0.372)/(0.372*(1-0.372))),"")</f>
        <v/>
      </c>
      <c r="BV61" s="40">
        <f>IFERROR(EXP((BP61-0.415)/(0.415*(1-0.415))),"")</f>
        <v/>
      </c>
      <c r="BW61" s="40">
        <f>IFERROR(EXP((BS61-0.405)/(0.405*(1-0.405))),"")</f>
        <v/>
      </c>
      <c r="BX61" s="40">
        <f>IFERROR(BT61*BU61*BV61*BW61,"")</f>
        <v/>
      </c>
      <c r="BY61" s="40">
        <f>IFERROR(BX61/(1+BX61),"")</f>
        <v/>
      </c>
      <c r="BZ61" s="40">
        <f>IFERROR(EXP(0.15*(SQRT(BH61)-0.5)/(0.5*0.5)),"")</f>
        <v/>
      </c>
      <c r="CA61" s="40">
        <f>IFERROR(IF(BY61&gt;=1,1E9,BY61/(1-BY61)*BZ61),"")</f>
        <v/>
      </c>
      <c r="CB61" s="40">
        <f>IFERROR(CA61/(1+CA61),"")</f>
        <v/>
      </c>
      <c r="CC61" s="42">
        <f>BH61</f>
        <v/>
      </c>
      <c r="CD61" s="42">
        <f>BN61</f>
        <v/>
      </c>
      <c r="CE61" s="42">
        <f>CB61</f>
        <v/>
      </c>
      <c r="CF61" s="43" t="inlineStr">
        <is>
          <t>Falsifiable via comparison. Somewhat emotional. H_f=0.55.</t>
        </is>
      </c>
    </row>
    <row r="62" ht="40" customHeight="1">
      <c r="A62" s="48" t="n">
        <v>60</v>
      </c>
      <c r="B62" s="49" t="inlineStr">
        <is>
          <t>Despite this gap, Moroccan families maintain stronger daily bonds and practical solidarity than most European families.</t>
        </is>
      </c>
      <c r="C62" s="48" t="inlineStr">
        <is>
          <t>Social</t>
        </is>
      </c>
      <c r="D62" s="39" t="n">
        <v>0.85</v>
      </c>
      <c r="E62" s="39" t="n">
        <v>0.85</v>
      </c>
      <c r="F62" s="39" t="n">
        <v>0.82</v>
      </c>
      <c r="G62" s="39" t="n">
        <v>0.85</v>
      </c>
      <c r="H62" s="40">
        <f>IFERROR(AVERAGE(D62,E62,F62,G62),"")</f>
        <v/>
      </c>
      <c r="I62" s="39" t="n">
        <v>0.68</v>
      </c>
      <c r="J62" s="39" t="n">
        <v>0.65</v>
      </c>
      <c r="K62" s="39" t="n">
        <v>0.68</v>
      </c>
      <c r="L62" s="39" t="n">
        <v>0.62</v>
      </c>
      <c r="M62" s="40">
        <f>IFERROR(AVERAGE(I62,J62,K62,L62),"")</f>
        <v/>
      </c>
      <c r="N62" s="39" t="n">
        <v>0.58</v>
      </c>
      <c r="O62" s="39" t="n">
        <v>0.75</v>
      </c>
      <c r="P62" s="40">
        <f>IFERROR(IF(H62=0,0,H62^(H62^(-0.5)))*SQRT(M62)*((4*N62+O62)/5),"")</f>
        <v/>
      </c>
      <c r="Q62" s="39" t="n">
        <v>0.48</v>
      </c>
      <c r="R62" s="39" t="n">
        <v>0.82</v>
      </c>
      <c r="S62" s="39" t="n">
        <v>0.75</v>
      </c>
      <c r="T62" s="39" t="n">
        <v>0.78</v>
      </c>
      <c r="U62" s="40">
        <f>IFERROR(((Q62^1.4+T62)/2)*R62*(1-EXP(-4.605*S62)),"")</f>
        <v/>
      </c>
      <c r="V62" s="39" t="n">
        <v>0.62</v>
      </c>
      <c r="W62" s="39" t="n">
        <v>0.68</v>
      </c>
      <c r="X62" s="39" t="n">
        <v>0.6</v>
      </c>
      <c r="Y62" s="39" t="n">
        <v>0.68</v>
      </c>
      <c r="Z62" s="39" t="n">
        <v>0.48</v>
      </c>
      <c r="AA62" s="39" t="n">
        <v>0.68</v>
      </c>
      <c r="AB62" s="40">
        <f>IFERROR(Z62*(Y62*AA62^1.1)^1.1*((3*V62+2*W62+X62)/6)^0.5,"")</f>
        <v/>
      </c>
      <c r="AC62" s="40">
        <f>IFERROR(SQRT(AB62),"")</f>
        <v/>
      </c>
      <c r="AD62" s="39" t="n">
        <v>0.68</v>
      </c>
      <c r="AE62" s="39" t="n">
        <v>0.48</v>
      </c>
      <c r="AF62" s="40">
        <f>IFERROR(AE62*(1-AE62*H62),"")</f>
        <v/>
      </c>
      <c r="AG62" s="39" t="n">
        <v>0.65</v>
      </c>
      <c r="AH62" s="39" t="n">
        <v>0.78</v>
      </c>
      <c r="AI62" s="39" t="n">
        <v>0.78</v>
      </c>
      <c r="AJ62" s="40">
        <f>IFERROR(AH62^2.1*AG62^0.2*(2*AF62+3*AI62+AD62)/6,"")</f>
        <v/>
      </c>
      <c r="AK62" s="40">
        <f>IFERROR(SQRT(AJ62),"")</f>
        <v/>
      </c>
      <c r="AL62" s="39" t="n">
        <v>0.4</v>
      </c>
      <c r="AM62" s="40">
        <f>IFERROR(1-EXP(-AL62),"")</f>
        <v/>
      </c>
      <c r="AN62" s="40">
        <f>IFERROR(4.18*AM62^0.7*(1-AM62)^1.5,"")</f>
        <v/>
      </c>
      <c r="AO62" s="39" t="n">
        <v>0.65</v>
      </c>
      <c r="AP62" s="39" t="n">
        <v>0.55</v>
      </c>
      <c r="AQ62" s="39" t="n">
        <v>0.65</v>
      </c>
      <c r="AR62" s="39" t="n">
        <v>0.85</v>
      </c>
      <c r="AS62" s="40">
        <f>IFERROR(AN62^(1-AO62)*AP62*(4*AQ62*(1-AQ62))*AR62^1.15,"")</f>
        <v/>
      </c>
      <c r="AT62" s="40">
        <f>IFERROR(AS62^(1/3),"")</f>
        <v/>
      </c>
      <c r="AU62" s="39" t="n">
        <v>1.4</v>
      </c>
      <c r="AV62" s="39" t="n">
        <v>2</v>
      </c>
      <c r="AW62" s="40">
        <f>IFERROR(IF(AV62&lt;=1,AU62,AU62*(1+(AV62-1)*0.6)),"")</f>
        <v/>
      </c>
      <c r="AX62" s="39" t="n">
        <v>0.78</v>
      </c>
      <c r="AY62" s="39" t="n">
        <v>0.3</v>
      </c>
      <c r="AZ62" s="41" t="n">
        <v>0.5</v>
      </c>
      <c r="BA62" s="40">
        <f>IFERROR(AZ62/(1-AZ62),"")</f>
        <v/>
      </c>
      <c r="BB62" s="40">
        <f>IFERROR(EXP((P62-0.301)/(0.301*(1-0.301))),"")</f>
        <v/>
      </c>
      <c r="BC62" s="40">
        <f>IFERROR(EXP((U62-0.354)/(0.354*(1-0.354))),"")</f>
        <v/>
      </c>
      <c r="BD62" s="40">
        <f>IFERROR(AW62,"")</f>
        <v/>
      </c>
      <c r="BE62" s="40">
        <f>IFERROR(EXP((AX62-0.75)/(0.75*(1-0.75))),"")</f>
        <v/>
      </c>
      <c r="BF62" s="40">
        <f>IFERROR(EXP((AY62-0.5)/(0.5*(1-0.5))),"")</f>
        <v/>
      </c>
      <c r="BG62" s="40">
        <f>IFERROR(BA62*BB62*BC62*BD62*BE62*BF62,"")</f>
        <v/>
      </c>
      <c r="BH62" s="40">
        <f>IFERROR(BG62/(1+BG62),"")</f>
        <v/>
      </c>
      <c r="BI62" s="40">
        <f>IFERROR(IF(BH62&gt;=1,1E9,BH62/(1-BH62)),"")</f>
        <v/>
      </c>
      <c r="BJ62" s="40">
        <f>IFERROR(EXP((AC62-0.372)/(0.372*(1-0.372))),"")</f>
        <v/>
      </c>
      <c r="BK62" s="40">
        <f>IFERROR(EXP((AK62-0.415)/(0.415*(1-0.415))),"")</f>
        <v/>
      </c>
      <c r="BL62" s="40">
        <f>IFERROR(EXP((AT62-0.405)/(0.405*(1-0.405))),"")</f>
        <v/>
      </c>
      <c r="BM62" s="40">
        <f>IFERROR(BI62*BJ62*BK62*BL62,"")</f>
        <v/>
      </c>
      <c r="BN62" s="40">
        <f>IFERROR(BM62/(1+BM62),"")</f>
        <v/>
      </c>
      <c r="BO62" s="40">
        <f>IFERROR(IF(AC62&gt;=1,0.999,1-EXP(1-(1-AC62)^(-0.8))),"")</f>
        <v/>
      </c>
      <c r="BP62" s="40">
        <f>IFERROR(IF(AK62&gt;=1,0.999,1-EXP(1-(1-AK62)^(-0.75))),"")</f>
        <v/>
      </c>
      <c r="BQ62" s="40">
        <f>IFERROR(1-EXP(-AL62*(1+AL62)),"")</f>
        <v/>
      </c>
      <c r="BR62" s="40">
        <f>IFERROR(BQ62^(1-AO62)*AP62*(4*AQ62*(1-AQ62))*AR62^1.15,"")</f>
        <v/>
      </c>
      <c r="BS62" s="40">
        <f>IFERROR(IF(BR62^(1/3)&gt;=1,0.999,1-EXP(1-(1-BR62^(1/3))^(-0.7))),"")</f>
        <v/>
      </c>
      <c r="BT62" s="40">
        <f>1</f>
        <v/>
      </c>
      <c r="BU62" s="40">
        <f>IFERROR(EXP((BO62-0.372)/(0.372*(1-0.372))),"")</f>
        <v/>
      </c>
      <c r="BV62" s="40">
        <f>IFERROR(EXP((BP62-0.415)/(0.415*(1-0.415))),"")</f>
        <v/>
      </c>
      <c r="BW62" s="40">
        <f>IFERROR(EXP((BS62-0.405)/(0.405*(1-0.405))),"")</f>
        <v/>
      </c>
      <c r="BX62" s="40">
        <f>IFERROR(BT62*BU62*BV62*BW62,"")</f>
        <v/>
      </c>
      <c r="BY62" s="40">
        <f>IFERROR(BX62/(1+BX62),"")</f>
        <v/>
      </c>
      <c r="BZ62" s="40">
        <f>IFERROR(EXP(0.15*(SQRT(BH62)-0.5)/(0.5*0.5)),"")</f>
        <v/>
      </c>
      <c r="CA62" s="40">
        <f>IFERROR(IF(BY62&gt;=1,1E9,BY62/(1-BY62)*BZ62),"")</f>
        <v/>
      </c>
      <c r="CB62" s="40">
        <f>IFERROR(CA62/(1+CA62),"")</f>
        <v/>
      </c>
      <c r="CC62" s="42">
        <f>BH62</f>
        <v/>
      </c>
      <c r="CD62" s="42">
        <f>BN62</f>
        <v/>
      </c>
      <c r="CE62" s="42">
        <f>CB62</f>
        <v/>
      </c>
      <c r="CF62" s="43" t="inlineStr">
        <is>
          <t>Receiver confirmed. Emotional. Cultural pride element.</t>
        </is>
      </c>
    </row>
    <row r="63" ht="40" customHeight="1">
      <c r="A63" s="48" t="n">
        <v>61</v>
      </c>
      <c r="B63" s="49" t="inlineStr">
        <is>
          <t>Pressure on Moroccan students during exam periods causes measurable psychological harm that is not taken seriously by schools or parents.</t>
        </is>
      </c>
      <c r="C63" s="48" t="inlineStr">
        <is>
          <t>Social</t>
        </is>
      </c>
      <c r="D63" s="39" t="n">
        <v>0.82</v>
      </c>
      <c r="E63" s="39" t="n">
        <v>0.82</v>
      </c>
      <c r="F63" s="39" t="n">
        <v>0.8</v>
      </c>
      <c r="G63" s="39" t="n">
        <v>0.82</v>
      </c>
      <c r="H63" s="40">
        <f>IFERROR(AVERAGE(D63,E63,F63,G63),"")</f>
        <v/>
      </c>
      <c r="I63" s="39" t="n">
        <v>0.65</v>
      </c>
      <c r="J63" s="39" t="n">
        <v>0.62</v>
      </c>
      <c r="K63" s="39" t="n">
        <v>0.65</v>
      </c>
      <c r="L63" s="39" t="n">
        <v>0.6</v>
      </c>
      <c r="M63" s="40">
        <f>IFERROR(AVERAGE(I63,J63,K63,L63),"")</f>
        <v/>
      </c>
      <c r="N63" s="39" t="n">
        <v>0.55</v>
      </c>
      <c r="O63" s="39" t="n">
        <v>0.7</v>
      </c>
      <c r="P63" s="40">
        <f>IFERROR(IF(H63=0,0,H63^(H63^(-0.5)))*SQRT(M63)*((4*N63+O63)/5),"")</f>
        <v/>
      </c>
      <c r="Q63" s="39" t="n">
        <v>0.48</v>
      </c>
      <c r="R63" s="39" t="n">
        <v>0.82</v>
      </c>
      <c r="S63" s="39" t="n">
        <v>0.78</v>
      </c>
      <c r="T63" s="39" t="n">
        <v>0.75</v>
      </c>
      <c r="U63" s="40">
        <f>IFERROR(((Q63^1.4+T63)/2)*R63*(1-EXP(-4.605*S63)),"")</f>
        <v/>
      </c>
      <c r="V63" s="39" t="n">
        <v>0.6</v>
      </c>
      <c r="W63" s="39" t="n">
        <v>0.65</v>
      </c>
      <c r="X63" s="39" t="n">
        <v>0.6</v>
      </c>
      <c r="Y63" s="39" t="n">
        <v>0.65</v>
      </c>
      <c r="Z63" s="39" t="n">
        <v>0.45</v>
      </c>
      <c r="AA63" s="39" t="n">
        <v>0.65</v>
      </c>
      <c r="AB63" s="40">
        <f>IFERROR(Z63*(Y63*AA63^1.1)^1.1*((3*V63+2*W63+X63)/6)^0.5,"")</f>
        <v/>
      </c>
      <c r="AC63" s="40">
        <f>IFERROR(SQRT(AB63),"")</f>
        <v/>
      </c>
      <c r="AD63" s="39" t="n">
        <v>0.62</v>
      </c>
      <c r="AE63" s="39" t="n">
        <v>0.42</v>
      </c>
      <c r="AF63" s="40">
        <f>IFERROR(AE63*(1-AE63*H63),"")</f>
        <v/>
      </c>
      <c r="AG63" s="39" t="n">
        <v>0.58</v>
      </c>
      <c r="AH63" s="39" t="n">
        <v>0.65</v>
      </c>
      <c r="AI63" s="39" t="n">
        <v>0.7</v>
      </c>
      <c r="AJ63" s="40">
        <f>IFERROR(AH63^2.1*AG63^0.2*(2*AF63+3*AI63+AD63)/6,"")</f>
        <v/>
      </c>
      <c r="AK63" s="40">
        <f>IFERROR(SQRT(AJ63),"")</f>
        <v/>
      </c>
      <c r="AL63" s="39" t="n">
        <v>0.45</v>
      </c>
      <c r="AM63" s="40">
        <f>IFERROR(1-EXP(-AL63),"")</f>
        <v/>
      </c>
      <c r="AN63" s="40">
        <f>IFERROR(4.18*AM63^0.7*(1-AM63)^1.5,"")</f>
        <v/>
      </c>
      <c r="AO63" s="39" t="n">
        <v>0.65</v>
      </c>
      <c r="AP63" s="39" t="n">
        <v>0.52</v>
      </c>
      <c r="AQ63" s="39" t="n">
        <v>0.62</v>
      </c>
      <c r="AR63" s="39" t="n">
        <v>0.8</v>
      </c>
      <c r="AS63" s="40">
        <f>IFERROR(AN63^(1-AO63)*AP63*(4*AQ63*(1-AQ63))*AR63^1.15,"")</f>
        <v/>
      </c>
      <c r="AT63" s="40">
        <f>IFERROR(AS63^(1/3),"")</f>
        <v/>
      </c>
      <c r="AU63" s="39" t="n">
        <v>1.3</v>
      </c>
      <c r="AV63" s="39" t="n">
        <v>2</v>
      </c>
      <c r="AW63" s="40">
        <f>IFERROR(IF(AV63&lt;=1,AU63,AU63*(1+(AV63-1)*0.6)),"")</f>
        <v/>
      </c>
      <c r="AX63" s="39" t="n">
        <v>0.75</v>
      </c>
      <c r="AY63" s="39" t="n">
        <v>0.28</v>
      </c>
      <c r="AZ63" s="41" t="n">
        <v>0.5</v>
      </c>
      <c r="BA63" s="40">
        <f>IFERROR(AZ63/(1-AZ63),"")</f>
        <v/>
      </c>
      <c r="BB63" s="40">
        <f>IFERROR(EXP((P63-0.301)/(0.301*(1-0.301))),"")</f>
        <v/>
      </c>
      <c r="BC63" s="40">
        <f>IFERROR(EXP((U63-0.354)/(0.354*(1-0.354))),"")</f>
        <v/>
      </c>
      <c r="BD63" s="40">
        <f>IFERROR(AW63,"")</f>
        <v/>
      </c>
      <c r="BE63" s="40">
        <f>IFERROR(EXP((AX63-0.75)/(0.75*(1-0.75))),"")</f>
        <v/>
      </c>
      <c r="BF63" s="40">
        <f>IFERROR(EXP((AY63-0.5)/(0.5*(1-0.5))),"")</f>
        <v/>
      </c>
      <c r="BG63" s="40">
        <f>IFERROR(BA63*BB63*BC63*BD63*BE63*BF63,"")</f>
        <v/>
      </c>
      <c r="BH63" s="40">
        <f>IFERROR(BG63/(1+BG63),"")</f>
        <v/>
      </c>
      <c r="BI63" s="40">
        <f>IFERROR(IF(BH63&gt;=1,1E9,BH63/(1-BH63)),"")</f>
        <v/>
      </c>
      <c r="BJ63" s="40">
        <f>IFERROR(EXP((AC63-0.372)/(0.372*(1-0.372))),"")</f>
        <v/>
      </c>
      <c r="BK63" s="40">
        <f>IFERROR(EXP((AK63-0.415)/(0.415*(1-0.415))),"")</f>
        <v/>
      </c>
      <c r="BL63" s="40">
        <f>IFERROR(EXP((AT63-0.405)/(0.405*(1-0.405))),"")</f>
        <v/>
      </c>
      <c r="BM63" s="40">
        <f>IFERROR(BI63*BJ63*BK63*BL63,"")</f>
        <v/>
      </c>
      <c r="BN63" s="40">
        <f>IFERROR(BM63/(1+BM63),"")</f>
        <v/>
      </c>
      <c r="BO63" s="40">
        <f>IFERROR(IF(AC63&gt;=1,0.999,1-EXP(1-(1-AC63)^(-0.8))),"")</f>
        <v/>
      </c>
      <c r="BP63" s="40">
        <f>IFERROR(IF(AK63&gt;=1,0.999,1-EXP(1-(1-AK63)^(-0.75))),"")</f>
        <v/>
      </c>
      <c r="BQ63" s="40">
        <f>IFERROR(1-EXP(-AL63*(1+AL63)),"")</f>
        <v/>
      </c>
      <c r="BR63" s="40">
        <f>IFERROR(BQ63^(1-AO63)*AP63*(4*AQ63*(1-AQ63))*AR63^1.15,"")</f>
        <v/>
      </c>
      <c r="BS63" s="40">
        <f>IFERROR(IF(BR63^(1/3)&gt;=1,0.999,1-EXP(1-(1-BR63^(1/3))^(-0.7))),"")</f>
        <v/>
      </c>
      <c r="BT63" s="40">
        <f>1</f>
        <v/>
      </c>
      <c r="BU63" s="40">
        <f>IFERROR(EXP((BO63-0.372)/(0.372*(1-0.372))),"")</f>
        <v/>
      </c>
      <c r="BV63" s="40">
        <f>IFERROR(EXP((BP63-0.415)/(0.415*(1-0.415))),"")</f>
        <v/>
      </c>
      <c r="BW63" s="40">
        <f>IFERROR(EXP((BS63-0.405)/(0.405*(1-0.405))),"")</f>
        <v/>
      </c>
      <c r="BX63" s="40">
        <f>IFERROR(BT63*BU63*BV63*BW63,"")</f>
        <v/>
      </c>
      <c r="BY63" s="40">
        <f>IFERROR(BX63/(1+BX63),"")</f>
        <v/>
      </c>
      <c r="BZ63" s="40">
        <f>IFERROR(EXP(0.15*(SQRT(BH63)-0.5)/(0.5*0.5)),"")</f>
        <v/>
      </c>
      <c r="CA63" s="40">
        <f>IFERROR(IF(BY63&gt;=1,1E9,BY63/(1-BY63)*BZ63),"")</f>
        <v/>
      </c>
      <c r="CB63" s="40">
        <f>IFERROR(CA63/(1+CA63),"")</f>
        <v/>
      </c>
      <c r="CC63" s="42">
        <f>BH63</f>
        <v/>
      </c>
      <c r="CD63" s="42">
        <f>BN63</f>
        <v/>
      </c>
      <c r="CE63" s="42">
        <f>CB63</f>
        <v/>
      </c>
      <c r="CF63" s="43" t="inlineStr">
        <is>
          <t>Moderate pushback from parents. True observation with growing recognition.</t>
        </is>
      </c>
    </row>
    <row r="64" ht="40" customHeight="1">
      <c r="A64" s="48" t="n">
        <v>62</v>
      </c>
      <c r="B64" s="49" t="inlineStr">
        <is>
          <t>Moroccan young people want to emigrate primarily because opportunities abroad are visibly better, not purely because conditions at home are terrible.</t>
        </is>
      </c>
      <c r="C64" s="48" t="inlineStr">
        <is>
          <t>Social</t>
        </is>
      </c>
      <c r="D64" s="39" t="n">
        <v>0.82</v>
      </c>
      <c r="E64" s="39" t="n">
        <v>0.82</v>
      </c>
      <c r="F64" s="39" t="n">
        <v>0.8</v>
      </c>
      <c r="G64" s="39" t="n">
        <v>0.82</v>
      </c>
      <c r="H64" s="40">
        <f>IFERROR(AVERAGE(D64,E64,F64,G64),"")</f>
        <v/>
      </c>
      <c r="I64" s="39" t="n">
        <v>0.68</v>
      </c>
      <c r="J64" s="39" t="n">
        <v>0.65</v>
      </c>
      <c r="K64" s="39" t="n">
        <v>0.68</v>
      </c>
      <c r="L64" s="39" t="n">
        <v>0.62</v>
      </c>
      <c r="M64" s="40">
        <f>IFERROR(AVERAGE(I64,J64,K64,L64),"")</f>
        <v/>
      </c>
      <c r="N64" s="39" t="n">
        <v>0.55</v>
      </c>
      <c r="O64" s="39" t="n">
        <v>0.72</v>
      </c>
      <c r="P64" s="40">
        <f>IFERROR(IF(H64=0,0,H64^(H64^(-0.5)))*SQRT(M64)*((4*N64+O64)/5),"")</f>
        <v/>
      </c>
      <c r="Q64" s="39" t="n">
        <v>0.48</v>
      </c>
      <c r="R64" s="39" t="n">
        <v>0.82</v>
      </c>
      <c r="S64" s="39" t="n">
        <v>0.78</v>
      </c>
      <c r="T64" s="39" t="n">
        <v>0.78</v>
      </c>
      <c r="U64" s="40">
        <f>IFERROR(((Q64^1.4+T64)/2)*R64*(1-EXP(-4.605*S64)),"")</f>
        <v/>
      </c>
      <c r="V64" s="39" t="n">
        <v>0.62</v>
      </c>
      <c r="W64" s="39" t="n">
        <v>0.68</v>
      </c>
      <c r="X64" s="39" t="n">
        <v>0.6</v>
      </c>
      <c r="Y64" s="39" t="n">
        <v>0.68</v>
      </c>
      <c r="Z64" s="39" t="n">
        <v>0.45</v>
      </c>
      <c r="AA64" s="39" t="n">
        <v>0.68</v>
      </c>
      <c r="AB64" s="40">
        <f>IFERROR(Z64*(Y64*AA64^1.1)^1.1*((3*V64+2*W64+X64)/6)^0.5,"")</f>
        <v/>
      </c>
      <c r="AC64" s="40">
        <f>IFERROR(SQRT(AB64),"")</f>
        <v/>
      </c>
      <c r="AD64" s="39" t="n">
        <v>0.62</v>
      </c>
      <c r="AE64" s="39" t="n">
        <v>0.45</v>
      </c>
      <c r="AF64" s="40">
        <f>IFERROR(AE64*(1-AE64*H64),"")</f>
        <v/>
      </c>
      <c r="AG64" s="39" t="n">
        <v>0.6</v>
      </c>
      <c r="AH64" s="39" t="n">
        <v>0.7</v>
      </c>
      <c r="AI64" s="39" t="n">
        <v>0.7</v>
      </c>
      <c r="AJ64" s="40">
        <f>IFERROR(AH64^2.1*AG64^0.2*(2*AF64+3*AI64+AD64)/6,"")</f>
        <v/>
      </c>
      <c r="AK64" s="40">
        <f>IFERROR(SQRT(AJ64),"")</f>
        <v/>
      </c>
      <c r="AL64" s="39" t="n">
        <v>0.5</v>
      </c>
      <c r="AM64" s="40">
        <f>IFERROR(1-EXP(-AL64),"")</f>
        <v/>
      </c>
      <c r="AN64" s="40">
        <f>IFERROR(4.18*AM64^0.7*(1-AM64)^1.5,"")</f>
        <v/>
      </c>
      <c r="AO64" s="39" t="n">
        <v>0.65</v>
      </c>
      <c r="AP64" s="39" t="n">
        <v>0.52</v>
      </c>
      <c r="AQ64" s="39" t="n">
        <v>0.62</v>
      </c>
      <c r="AR64" s="39" t="n">
        <v>0.78</v>
      </c>
      <c r="AS64" s="40">
        <f>IFERROR(AN64^(1-AO64)*AP64*(4*AQ64*(1-AQ64))*AR64^1.15,"")</f>
        <v/>
      </c>
      <c r="AT64" s="40">
        <f>IFERROR(AS64^(1/3),"")</f>
        <v/>
      </c>
      <c r="AU64" s="39" t="n">
        <v>1.4</v>
      </c>
      <c r="AV64" s="39" t="n">
        <v>2</v>
      </c>
      <c r="AW64" s="40">
        <f>IFERROR(IF(AV64&lt;=1,AU64,AU64*(1+(AV64-1)*0.6)),"")</f>
        <v/>
      </c>
      <c r="AX64" s="39" t="n">
        <v>0.75</v>
      </c>
      <c r="AY64" s="39" t="n">
        <v>0.3</v>
      </c>
      <c r="AZ64" s="41" t="n">
        <v>0.5</v>
      </c>
      <c r="BA64" s="40">
        <f>IFERROR(AZ64/(1-AZ64),"")</f>
        <v/>
      </c>
      <c r="BB64" s="40">
        <f>IFERROR(EXP((P64-0.301)/(0.301*(1-0.301))),"")</f>
        <v/>
      </c>
      <c r="BC64" s="40">
        <f>IFERROR(EXP((U64-0.354)/(0.354*(1-0.354))),"")</f>
        <v/>
      </c>
      <c r="BD64" s="40">
        <f>IFERROR(AW64,"")</f>
        <v/>
      </c>
      <c r="BE64" s="40">
        <f>IFERROR(EXP((AX64-0.75)/(0.75*(1-0.75))),"")</f>
        <v/>
      </c>
      <c r="BF64" s="40">
        <f>IFERROR(EXP((AY64-0.5)/(0.5*(1-0.5))),"")</f>
        <v/>
      </c>
      <c r="BG64" s="40">
        <f>IFERROR(BA64*BB64*BC64*BD64*BE64*BF64,"")</f>
        <v/>
      </c>
      <c r="BH64" s="40">
        <f>IFERROR(BG64/(1+BG64),"")</f>
        <v/>
      </c>
      <c r="BI64" s="40">
        <f>IFERROR(IF(BH64&gt;=1,1E9,BH64/(1-BH64)),"")</f>
        <v/>
      </c>
      <c r="BJ64" s="40">
        <f>IFERROR(EXP((AC64-0.372)/(0.372*(1-0.372))),"")</f>
        <v/>
      </c>
      <c r="BK64" s="40">
        <f>IFERROR(EXP((AK64-0.415)/(0.415*(1-0.415))),"")</f>
        <v/>
      </c>
      <c r="BL64" s="40">
        <f>IFERROR(EXP((AT64-0.405)/(0.405*(1-0.405))),"")</f>
        <v/>
      </c>
      <c r="BM64" s="40">
        <f>IFERROR(BI64*BJ64*BK64*BL64,"")</f>
        <v/>
      </c>
      <c r="BN64" s="40">
        <f>IFERROR(BM64/(1+BM64),"")</f>
        <v/>
      </c>
      <c r="BO64" s="40">
        <f>IFERROR(IF(AC64&gt;=1,0.999,1-EXP(1-(1-AC64)^(-0.8))),"")</f>
        <v/>
      </c>
      <c r="BP64" s="40">
        <f>IFERROR(IF(AK64&gt;=1,0.999,1-EXP(1-(1-AK64)^(-0.75))),"")</f>
        <v/>
      </c>
      <c r="BQ64" s="40">
        <f>IFERROR(1-EXP(-AL64*(1+AL64)),"")</f>
        <v/>
      </c>
      <c r="BR64" s="40">
        <f>IFERROR(BQ64^(1-AO64)*AP64*(4*AQ64*(1-AQ64))*AR64^1.15,"")</f>
        <v/>
      </c>
      <c r="BS64" s="40">
        <f>IFERROR(IF(BR64^(1/3)&gt;=1,0.999,1-EXP(1-(1-BR64^(1/3))^(-0.7))),"")</f>
        <v/>
      </c>
      <c r="BT64" s="40">
        <f>1</f>
        <v/>
      </c>
      <c r="BU64" s="40">
        <f>IFERROR(EXP((BO64-0.372)/(0.372*(1-0.372))),"")</f>
        <v/>
      </c>
      <c r="BV64" s="40">
        <f>IFERROR(EXP((BP64-0.415)/(0.415*(1-0.415))),"")</f>
        <v/>
      </c>
      <c r="BW64" s="40">
        <f>IFERROR(EXP((BS64-0.405)/(0.405*(1-0.405))),"")</f>
        <v/>
      </c>
      <c r="BX64" s="40">
        <f>IFERROR(BT64*BU64*BV64*BW64,"")</f>
        <v/>
      </c>
      <c r="BY64" s="40">
        <f>IFERROR(BX64/(1+BX64),"")</f>
        <v/>
      </c>
      <c r="BZ64" s="40">
        <f>IFERROR(EXP(0.15*(SQRT(BH64)-0.5)/(0.5*0.5)),"")</f>
        <v/>
      </c>
      <c r="CA64" s="40">
        <f>IFERROR(IF(BY64&gt;=1,1E9,BY64/(1-BY64)*BZ64),"")</f>
        <v/>
      </c>
      <c r="CB64" s="40">
        <f>IFERROR(CA64/(1+CA64),"")</f>
        <v/>
      </c>
      <c r="CC64" s="42">
        <f>BH64</f>
        <v/>
      </c>
      <c r="CD64" s="42">
        <f>BN64</f>
        <v/>
      </c>
      <c r="CE64" s="42">
        <f>CB64</f>
        <v/>
      </c>
      <c r="CF64" s="43" t="inlineStr">
        <is>
          <t>Receiver's nuanced view. Contested by those who see it as desperation.</t>
        </is>
      </c>
    </row>
    <row r="65" ht="40" customHeight="1">
      <c r="A65" s="48" t="n">
        <v>63</v>
      </c>
      <c r="B65" s="49" t="inlineStr">
        <is>
          <t>Men who cook regularly at home in Morocco are still viewed negatively by a significant portion of older Moroccan men.</t>
        </is>
      </c>
      <c r="C65" s="48" t="inlineStr">
        <is>
          <t>Social</t>
        </is>
      </c>
      <c r="D65" s="39" t="n">
        <v>0.82</v>
      </c>
      <c r="E65" s="39" t="n">
        <v>0.82</v>
      </c>
      <c r="F65" s="39" t="n">
        <v>0.8</v>
      </c>
      <c r="G65" s="39" t="n">
        <v>0.82</v>
      </c>
      <c r="H65" s="40">
        <f>IFERROR(AVERAGE(D65,E65,F65,G65),"")</f>
        <v/>
      </c>
      <c r="I65" s="39" t="n">
        <v>0.65</v>
      </c>
      <c r="J65" s="39" t="n">
        <v>0.62</v>
      </c>
      <c r="K65" s="39" t="n">
        <v>0.65</v>
      </c>
      <c r="L65" s="39" t="n">
        <v>0.6</v>
      </c>
      <c r="M65" s="40">
        <f>IFERROR(AVERAGE(I65,J65,K65,L65),"")</f>
        <v/>
      </c>
      <c r="N65" s="39" t="n">
        <v>0.55</v>
      </c>
      <c r="O65" s="39" t="n">
        <v>0.7</v>
      </c>
      <c r="P65" s="40">
        <f>IFERROR(IF(H65=0,0,H65^(H65^(-0.5)))*SQRT(M65)*((4*N65+O65)/5),"")</f>
        <v/>
      </c>
      <c r="Q65" s="39" t="n">
        <v>0.45</v>
      </c>
      <c r="R65" s="39" t="n">
        <v>0.8</v>
      </c>
      <c r="S65" s="39" t="n">
        <v>0.78</v>
      </c>
      <c r="T65" s="39" t="n">
        <v>0.75</v>
      </c>
      <c r="U65" s="40">
        <f>IFERROR(((Q65^1.4+T65)/2)*R65*(1-EXP(-4.605*S65)),"")</f>
        <v/>
      </c>
      <c r="V65" s="39" t="n">
        <v>0.6</v>
      </c>
      <c r="W65" s="39" t="n">
        <v>0.65</v>
      </c>
      <c r="X65" s="39" t="n">
        <v>0.6</v>
      </c>
      <c r="Y65" s="39" t="n">
        <v>0.65</v>
      </c>
      <c r="Z65" s="39" t="n">
        <v>0.45</v>
      </c>
      <c r="AA65" s="39" t="n">
        <v>0.65</v>
      </c>
      <c r="AB65" s="40">
        <f>IFERROR(Z65*(Y65*AA65^1.1)^1.1*((3*V65+2*W65+X65)/6)^0.5,"")</f>
        <v/>
      </c>
      <c r="AC65" s="40">
        <f>IFERROR(SQRT(AB65),"")</f>
        <v/>
      </c>
      <c r="AD65" s="39" t="n">
        <v>0.6</v>
      </c>
      <c r="AE65" s="39" t="n">
        <v>0.4</v>
      </c>
      <c r="AF65" s="40">
        <f>IFERROR(AE65*(1-AE65*H65),"")</f>
        <v/>
      </c>
      <c r="AG65" s="39" t="n">
        <v>0.58</v>
      </c>
      <c r="AH65" s="39" t="n">
        <v>0.55</v>
      </c>
      <c r="AI65" s="39" t="n">
        <v>0.62</v>
      </c>
      <c r="AJ65" s="40">
        <f>IFERROR(AH65^2.1*AG65^0.2*(2*AF65+3*AI65+AD65)/6,"")</f>
        <v/>
      </c>
      <c r="AK65" s="40">
        <f>IFERROR(SQRT(AJ65),"")</f>
        <v/>
      </c>
      <c r="AL65" s="39" t="n">
        <v>0.4</v>
      </c>
      <c r="AM65" s="40">
        <f>IFERROR(1-EXP(-AL65),"")</f>
        <v/>
      </c>
      <c r="AN65" s="40">
        <f>IFERROR(4.18*AM65^0.7*(1-AM65)^1.5,"")</f>
        <v/>
      </c>
      <c r="AO65" s="39" t="n">
        <v>0.65</v>
      </c>
      <c r="AP65" s="39" t="n">
        <v>0.52</v>
      </c>
      <c r="AQ65" s="39" t="n">
        <v>0.58</v>
      </c>
      <c r="AR65" s="39" t="n">
        <v>0.68</v>
      </c>
      <c r="AS65" s="40">
        <f>IFERROR(AN65^(1-AO65)*AP65*(4*AQ65*(1-AQ65))*AR65^1.15,"")</f>
        <v/>
      </c>
      <c r="AT65" s="40">
        <f>IFERROR(AS65^(1/3),"")</f>
        <v/>
      </c>
      <c r="AU65" s="39" t="n">
        <v>1.3</v>
      </c>
      <c r="AV65" s="39" t="n">
        <v>2</v>
      </c>
      <c r="AW65" s="40">
        <f>IFERROR(IF(AV65&lt;=1,AU65,AU65*(1+(AV65-1)*0.6)),"")</f>
        <v/>
      </c>
      <c r="AX65" s="39" t="n">
        <v>0.72</v>
      </c>
      <c r="AY65" s="39" t="n">
        <v>0.28</v>
      </c>
      <c r="AZ65" s="41" t="n">
        <v>0.5</v>
      </c>
      <c r="BA65" s="40">
        <f>IFERROR(AZ65/(1-AZ65),"")</f>
        <v/>
      </c>
      <c r="BB65" s="40">
        <f>IFERROR(EXP((P65-0.301)/(0.301*(1-0.301))),"")</f>
        <v/>
      </c>
      <c r="BC65" s="40">
        <f>IFERROR(EXP((U65-0.354)/(0.354*(1-0.354))),"")</f>
        <v/>
      </c>
      <c r="BD65" s="40">
        <f>IFERROR(AW65,"")</f>
        <v/>
      </c>
      <c r="BE65" s="40">
        <f>IFERROR(EXP((AX65-0.75)/(0.75*(1-0.75))),"")</f>
        <v/>
      </c>
      <c r="BF65" s="40">
        <f>IFERROR(EXP((AY65-0.5)/(0.5*(1-0.5))),"")</f>
        <v/>
      </c>
      <c r="BG65" s="40">
        <f>IFERROR(BA65*BB65*BC65*BD65*BE65*BF65,"")</f>
        <v/>
      </c>
      <c r="BH65" s="40">
        <f>IFERROR(BG65/(1+BG65),"")</f>
        <v/>
      </c>
      <c r="BI65" s="40">
        <f>IFERROR(IF(BH65&gt;=1,1E9,BH65/(1-BH65)),"")</f>
        <v/>
      </c>
      <c r="BJ65" s="40">
        <f>IFERROR(EXP((AC65-0.372)/(0.372*(1-0.372))),"")</f>
        <v/>
      </c>
      <c r="BK65" s="40">
        <f>IFERROR(EXP((AK65-0.415)/(0.415*(1-0.415))),"")</f>
        <v/>
      </c>
      <c r="BL65" s="40">
        <f>IFERROR(EXP((AT65-0.405)/(0.405*(1-0.405))),"")</f>
        <v/>
      </c>
      <c r="BM65" s="40">
        <f>IFERROR(BI65*BJ65*BK65*BL65,"")</f>
        <v/>
      </c>
      <c r="BN65" s="40">
        <f>IFERROR(BM65/(1+BM65),"")</f>
        <v/>
      </c>
      <c r="BO65" s="40">
        <f>IFERROR(IF(AC65&gt;=1,0.999,1-EXP(1-(1-AC65)^(-0.8))),"")</f>
        <v/>
      </c>
      <c r="BP65" s="40">
        <f>IFERROR(IF(AK65&gt;=1,0.999,1-EXP(1-(1-AK65)^(-0.75))),"")</f>
        <v/>
      </c>
      <c r="BQ65" s="40">
        <f>IFERROR(1-EXP(-AL65*(1+AL65)),"")</f>
        <v/>
      </c>
      <c r="BR65" s="40">
        <f>IFERROR(BQ65^(1-AO65)*AP65*(4*AQ65*(1-AQ65))*AR65^1.15,"")</f>
        <v/>
      </c>
      <c r="BS65" s="40">
        <f>IFERROR(IF(BR65^(1/3)&gt;=1,0.999,1-EXP(1-(1-BR65^(1/3))^(-0.7))),"")</f>
        <v/>
      </c>
      <c r="BT65" s="40">
        <f>1</f>
        <v/>
      </c>
      <c r="BU65" s="40">
        <f>IFERROR(EXP((BO65-0.372)/(0.372*(1-0.372))),"")</f>
        <v/>
      </c>
      <c r="BV65" s="40">
        <f>IFERROR(EXP((BP65-0.415)/(0.415*(1-0.415))),"")</f>
        <v/>
      </c>
      <c r="BW65" s="40">
        <f>IFERROR(EXP((BS65-0.405)/(0.405*(1-0.405))),"")</f>
        <v/>
      </c>
      <c r="BX65" s="40">
        <f>IFERROR(BT65*BU65*BV65*BW65,"")</f>
        <v/>
      </c>
      <c r="BY65" s="40">
        <f>IFERROR(BX65/(1+BX65),"")</f>
        <v/>
      </c>
      <c r="BZ65" s="40">
        <f>IFERROR(EXP(0.15*(SQRT(BH65)-0.5)/(0.5*0.5)),"")</f>
        <v/>
      </c>
      <c r="CA65" s="40">
        <f>IFERROR(IF(BY65&gt;=1,1E9,BY65/(1-BY65)*BZ65),"")</f>
        <v/>
      </c>
      <c r="CB65" s="40">
        <f>IFERROR(CA65/(1+CA65),"")</f>
        <v/>
      </c>
      <c r="CC65" s="42">
        <f>BH65</f>
        <v/>
      </c>
      <c r="CD65" s="42">
        <f>BN65</f>
        <v/>
      </c>
      <c r="CE65" s="42">
        <f>CB65</f>
        <v/>
      </c>
      <c r="CF65" s="43" t="inlineStr">
        <is>
          <t>True but generational. Younger generation disagrees (AB_r=0.55).</t>
        </is>
      </c>
    </row>
    <row r="66" ht="40" customHeight="1">
      <c r="A66" s="48" t="n">
        <v>64</v>
      </c>
      <c r="B66" s="49" t="inlineStr">
        <is>
          <t>Moroccan women now legally pass their nationality to their children regardless of the father's nationality.</t>
        </is>
      </c>
      <c r="C66" s="48" t="inlineStr">
        <is>
          <t>Social</t>
        </is>
      </c>
      <c r="D66" s="39" t="n">
        <v>0.88</v>
      </c>
      <c r="E66" s="39" t="n">
        <v>0.88</v>
      </c>
      <c r="F66" s="39" t="n">
        <v>0.85</v>
      </c>
      <c r="G66" s="39" t="n">
        <v>0.88</v>
      </c>
      <c r="H66" s="40">
        <f>IFERROR(AVERAGE(D66,E66,F66,G66),"")</f>
        <v/>
      </c>
      <c r="I66" s="39" t="n">
        <v>0.8</v>
      </c>
      <c r="J66" s="39" t="n">
        <v>0.75</v>
      </c>
      <c r="K66" s="39" t="n">
        <v>0.78</v>
      </c>
      <c r="L66" s="39" t="n">
        <v>0.72</v>
      </c>
      <c r="M66" s="40">
        <f>IFERROR(AVERAGE(I66,J66,K66,L66),"")</f>
        <v/>
      </c>
      <c r="N66" s="39" t="n">
        <v>0.68</v>
      </c>
      <c r="O66" s="39" t="n">
        <v>0.8</v>
      </c>
      <c r="P66" s="40">
        <f>IFERROR(IF(H66=0,0,H66^(H66^(-0.5)))*SQRT(M66)*((4*N66+O66)/5),"")</f>
        <v/>
      </c>
      <c r="Q66" s="39" t="n">
        <v>0.35</v>
      </c>
      <c r="R66" s="39" t="n">
        <v>0.92</v>
      </c>
      <c r="S66" s="39" t="n">
        <v>0.92</v>
      </c>
      <c r="T66" s="39" t="n">
        <v>0.85</v>
      </c>
      <c r="U66" s="40">
        <f>IFERROR(((Q66^1.4+T66)/2)*R66*(1-EXP(-4.605*S66)),"")</f>
        <v/>
      </c>
      <c r="V66" s="39" t="n">
        <v>0.65</v>
      </c>
      <c r="W66" s="39" t="n">
        <v>0.7</v>
      </c>
      <c r="X66" s="39" t="n">
        <v>0.6</v>
      </c>
      <c r="Y66" s="39" t="n">
        <v>0.7</v>
      </c>
      <c r="Z66" s="39" t="n">
        <v>0.55</v>
      </c>
      <c r="AA66" s="39" t="n">
        <v>0.7</v>
      </c>
      <c r="AB66" s="40">
        <f>IFERROR(Z66*(Y66*AA66^1.1)^1.1*((3*V66+2*W66+X66)/6)^0.5,"")</f>
        <v/>
      </c>
      <c r="AC66" s="40">
        <f>IFERROR(SQRT(AB66),"")</f>
        <v/>
      </c>
      <c r="AD66" s="39" t="n">
        <v>0.65</v>
      </c>
      <c r="AE66" s="39" t="n">
        <v>0.5</v>
      </c>
      <c r="AF66" s="40">
        <f>IFERROR(AE66*(1-AE66*H66),"")</f>
        <v/>
      </c>
      <c r="AG66" s="39" t="n">
        <v>0.65</v>
      </c>
      <c r="AH66" s="39" t="n">
        <v>0.82</v>
      </c>
      <c r="AI66" s="39" t="n">
        <v>0.72</v>
      </c>
      <c r="AJ66" s="40">
        <f>IFERROR(AH66^2.1*AG66^0.2*(2*AF66+3*AI66+AD66)/6,"")</f>
        <v/>
      </c>
      <c r="AK66" s="40">
        <f>IFERROR(SQRT(AJ66),"")</f>
        <v/>
      </c>
      <c r="AL66" s="39" t="n">
        <v>0.45</v>
      </c>
      <c r="AM66" s="40">
        <f>IFERROR(1-EXP(-AL66),"")</f>
        <v/>
      </c>
      <c r="AN66" s="40">
        <f>IFERROR(4.18*AM66^0.7*(1-AM66)^1.5,"")</f>
        <v/>
      </c>
      <c r="AO66" s="39" t="n">
        <v>0.65</v>
      </c>
      <c r="AP66" s="39" t="n">
        <v>0.52</v>
      </c>
      <c r="AQ66" s="39" t="n">
        <v>0.58</v>
      </c>
      <c r="AR66" s="39" t="n">
        <v>0.72</v>
      </c>
      <c r="AS66" s="40">
        <f>IFERROR(AN66^(1-AO66)*AP66*(4*AQ66*(1-AQ66))*AR66^1.15,"")</f>
        <v/>
      </c>
      <c r="AT66" s="40">
        <f>IFERROR(AS66^(1/3),"")</f>
        <v/>
      </c>
      <c r="AU66" s="39" t="n">
        <v>2.5</v>
      </c>
      <c r="AV66" s="39" t="n">
        <v>3</v>
      </c>
      <c r="AW66" s="40">
        <f>IFERROR(IF(AV66&lt;=1,AU66,AU66*(1+(AV66-1)*0.6)),"")</f>
        <v/>
      </c>
      <c r="AX66" s="39" t="n">
        <v>0.95</v>
      </c>
      <c r="AY66" s="39" t="n">
        <v>0.6</v>
      </c>
      <c r="AZ66" s="41" t="n">
        <v>0.5</v>
      </c>
      <c r="BA66" s="40">
        <f>IFERROR(AZ66/(1-AZ66),"")</f>
        <v/>
      </c>
      <c r="BB66" s="40">
        <f>IFERROR(EXP((P66-0.301)/(0.301*(1-0.301))),"")</f>
        <v/>
      </c>
      <c r="BC66" s="40">
        <f>IFERROR(EXP((U66-0.354)/(0.354*(1-0.354))),"")</f>
        <v/>
      </c>
      <c r="BD66" s="40">
        <f>IFERROR(AW66,"")</f>
        <v/>
      </c>
      <c r="BE66" s="40">
        <f>IFERROR(EXP((AX66-0.75)/(0.75*(1-0.75))),"")</f>
        <v/>
      </c>
      <c r="BF66" s="40">
        <f>IFERROR(EXP((AY66-0.5)/(0.5*(1-0.5))),"")</f>
        <v/>
      </c>
      <c r="BG66" s="40">
        <f>IFERROR(BA66*BB66*BC66*BD66*BE66*BF66,"")</f>
        <v/>
      </c>
      <c r="BH66" s="40">
        <f>IFERROR(BG66/(1+BG66),"")</f>
        <v/>
      </c>
      <c r="BI66" s="40">
        <f>IFERROR(IF(BH66&gt;=1,1E9,BH66/(1-BH66)),"")</f>
        <v/>
      </c>
      <c r="BJ66" s="40">
        <f>IFERROR(EXP((AC66-0.372)/(0.372*(1-0.372))),"")</f>
        <v/>
      </c>
      <c r="BK66" s="40">
        <f>IFERROR(EXP((AK66-0.415)/(0.415*(1-0.415))),"")</f>
        <v/>
      </c>
      <c r="BL66" s="40">
        <f>IFERROR(EXP((AT66-0.405)/(0.405*(1-0.405))),"")</f>
        <v/>
      </c>
      <c r="BM66" s="40">
        <f>IFERROR(BI66*BJ66*BK66*BL66,"")</f>
        <v/>
      </c>
      <c r="BN66" s="40">
        <f>IFERROR(BM66/(1+BM66),"")</f>
        <v/>
      </c>
      <c r="BO66" s="40">
        <f>IFERROR(IF(AC66&gt;=1,0.999,1-EXP(1-(1-AC66)^(-0.8))),"")</f>
        <v/>
      </c>
      <c r="BP66" s="40">
        <f>IFERROR(IF(AK66&gt;=1,0.999,1-EXP(1-(1-AK66)^(-0.75))),"")</f>
        <v/>
      </c>
      <c r="BQ66" s="40">
        <f>IFERROR(1-EXP(-AL66*(1+AL66)),"")</f>
        <v/>
      </c>
      <c r="BR66" s="40">
        <f>IFERROR(BQ66^(1-AO66)*AP66*(4*AQ66*(1-AQ66))*AR66^1.15,"")</f>
        <v/>
      </c>
      <c r="BS66" s="40">
        <f>IFERROR(IF(BR66^(1/3)&gt;=1,0.999,1-EXP(1-(1-BR66^(1/3))^(-0.7))),"")</f>
        <v/>
      </c>
      <c r="BT66" s="40">
        <f>1</f>
        <v/>
      </c>
      <c r="BU66" s="40">
        <f>IFERROR(EXP((BO66-0.372)/(0.372*(1-0.372))),"")</f>
        <v/>
      </c>
      <c r="BV66" s="40">
        <f>IFERROR(EXP((BP66-0.415)/(0.415*(1-0.415))),"")</f>
        <v/>
      </c>
      <c r="BW66" s="40">
        <f>IFERROR(EXP((BS66-0.405)/(0.405*(1-0.405))),"")</f>
        <v/>
      </c>
      <c r="BX66" s="40">
        <f>IFERROR(BT66*BU66*BV66*BW66,"")</f>
        <v/>
      </c>
      <c r="BY66" s="40">
        <f>IFERROR(BX66/(1+BX66),"")</f>
        <v/>
      </c>
      <c r="BZ66" s="40">
        <f>IFERROR(EXP(0.15*(SQRT(BH66)-0.5)/(0.5*0.5)),"")</f>
        <v/>
      </c>
      <c r="CA66" s="40">
        <f>IFERROR(IF(BY66&gt;=1,1E9,BY66/(1-BY66)*BZ66),"")</f>
        <v/>
      </c>
      <c r="CB66" s="40">
        <f>IFERROR(CA66/(1+CA66),"")</f>
        <v/>
      </c>
      <c r="CC66" s="42">
        <f>BH66</f>
        <v/>
      </c>
      <c r="CD66" s="42">
        <f>BN66</f>
        <v/>
      </c>
      <c r="CE66" s="42">
        <f>CB66</f>
        <v/>
      </c>
      <c r="CF66" s="43" t="inlineStr">
        <is>
          <t>True legal fact. Well documented. N_raw moderate - not everyone knows.</t>
        </is>
      </c>
    </row>
    <row r="67" ht="40" customHeight="1">
      <c r="A67" s="48" t="n">
        <v>65</v>
      </c>
      <c r="B67" s="49" t="inlineStr">
        <is>
          <t>Divorce rates in Morocco have been rising steadily for the past decade.</t>
        </is>
      </c>
      <c r="C67" s="48" t="inlineStr">
        <is>
          <t>Social</t>
        </is>
      </c>
      <c r="D67" s="39" t="n">
        <v>0.85</v>
      </c>
      <c r="E67" s="39" t="n">
        <v>0.85</v>
      </c>
      <c r="F67" s="39" t="n">
        <v>0.82</v>
      </c>
      <c r="G67" s="39" t="n">
        <v>0.85</v>
      </c>
      <c r="H67" s="40">
        <f>IFERROR(AVERAGE(D67,E67,F67,G67),"")</f>
        <v/>
      </c>
      <c r="I67" s="39" t="n">
        <v>0.75</v>
      </c>
      <c r="J67" s="39" t="n">
        <v>0.7</v>
      </c>
      <c r="K67" s="39" t="n">
        <v>0.72</v>
      </c>
      <c r="L67" s="39" t="n">
        <v>0.65</v>
      </c>
      <c r="M67" s="40">
        <f>IFERROR(AVERAGE(I67,J67,K67,L67),"")</f>
        <v/>
      </c>
      <c r="N67" s="39" t="n">
        <v>0.62</v>
      </c>
      <c r="O67" s="39" t="n">
        <v>0.75</v>
      </c>
      <c r="P67" s="40">
        <f>IFERROR(IF(H67=0,0,H67^(H67^(-0.5)))*SQRT(M67)*((4*N67+O67)/5),"")</f>
        <v/>
      </c>
      <c r="Q67" s="39" t="n">
        <v>0.38</v>
      </c>
      <c r="R67" s="39" t="n">
        <v>0.9</v>
      </c>
      <c r="S67" s="39" t="n">
        <v>0.88</v>
      </c>
      <c r="T67" s="39" t="n">
        <v>0.8</v>
      </c>
      <c r="U67" s="40">
        <f>IFERROR(((Q67^1.4+T67)/2)*R67*(1-EXP(-4.605*S67)),"")</f>
        <v/>
      </c>
      <c r="V67" s="39" t="n">
        <v>0.62</v>
      </c>
      <c r="W67" s="39" t="n">
        <v>0.68</v>
      </c>
      <c r="X67" s="39" t="n">
        <v>0.6</v>
      </c>
      <c r="Y67" s="39" t="n">
        <v>0.68</v>
      </c>
      <c r="Z67" s="39" t="n">
        <v>0.48</v>
      </c>
      <c r="AA67" s="39" t="n">
        <v>0.68</v>
      </c>
      <c r="AB67" s="40">
        <f>IFERROR(Z67*(Y67*AA67^1.1)^1.1*((3*V67+2*W67+X67)/6)^0.5,"")</f>
        <v/>
      </c>
      <c r="AC67" s="40">
        <f>IFERROR(SQRT(AB67),"")</f>
        <v/>
      </c>
      <c r="AD67" s="39" t="n">
        <v>0.65</v>
      </c>
      <c r="AE67" s="39" t="n">
        <v>0.48</v>
      </c>
      <c r="AF67" s="40">
        <f>IFERROR(AE67*(1-AE67*H67),"")</f>
        <v/>
      </c>
      <c r="AG67" s="39" t="n">
        <v>0.62</v>
      </c>
      <c r="AH67" s="39" t="n">
        <v>0.78</v>
      </c>
      <c r="AI67" s="39" t="n">
        <v>0.72</v>
      </c>
      <c r="AJ67" s="40">
        <f>IFERROR(AH67^2.1*AG67^0.2*(2*AF67+3*AI67+AD67)/6,"")</f>
        <v/>
      </c>
      <c r="AK67" s="40">
        <f>IFERROR(SQRT(AJ67),"")</f>
        <v/>
      </c>
      <c r="AL67" s="39" t="n">
        <v>0.4</v>
      </c>
      <c r="AM67" s="40">
        <f>IFERROR(1-EXP(-AL67),"")</f>
        <v/>
      </c>
      <c r="AN67" s="40">
        <f>IFERROR(4.18*AM67^0.7*(1-AM67)^1.5,"")</f>
        <v/>
      </c>
      <c r="AO67" s="39" t="n">
        <v>0.65</v>
      </c>
      <c r="AP67" s="39" t="n">
        <v>0.52</v>
      </c>
      <c r="AQ67" s="39" t="n">
        <v>0.6</v>
      </c>
      <c r="AR67" s="39" t="n">
        <v>0.75</v>
      </c>
      <c r="AS67" s="40">
        <f>IFERROR(AN67^(1-AO67)*AP67*(4*AQ67*(1-AQ67))*AR67^1.15,"")</f>
        <v/>
      </c>
      <c r="AT67" s="40">
        <f>IFERROR(AS67^(1/3),"")</f>
        <v/>
      </c>
      <c r="AU67" s="39" t="n">
        <v>2</v>
      </c>
      <c r="AV67" s="39" t="n">
        <v>3</v>
      </c>
      <c r="AW67" s="40">
        <f>IFERROR(IF(AV67&lt;=1,AU67,AU67*(1+(AV67-1)*0.6)),"")</f>
        <v/>
      </c>
      <c r="AX67" s="39" t="n">
        <v>0.88</v>
      </c>
      <c r="AY67" s="39" t="n">
        <v>0.48</v>
      </c>
      <c r="AZ67" s="41" t="n">
        <v>0.5</v>
      </c>
      <c r="BA67" s="40">
        <f>IFERROR(AZ67/(1-AZ67),"")</f>
        <v/>
      </c>
      <c r="BB67" s="40">
        <f>IFERROR(EXP((P67-0.301)/(0.301*(1-0.301))),"")</f>
        <v/>
      </c>
      <c r="BC67" s="40">
        <f>IFERROR(EXP((U67-0.354)/(0.354*(1-0.354))),"")</f>
        <v/>
      </c>
      <c r="BD67" s="40">
        <f>IFERROR(AW67,"")</f>
        <v/>
      </c>
      <c r="BE67" s="40">
        <f>IFERROR(EXP((AX67-0.75)/(0.75*(1-0.75))),"")</f>
        <v/>
      </c>
      <c r="BF67" s="40">
        <f>IFERROR(EXP((AY67-0.5)/(0.5*(1-0.5))),"")</f>
        <v/>
      </c>
      <c r="BG67" s="40">
        <f>IFERROR(BA67*BB67*BC67*BD67*BE67*BF67,"")</f>
        <v/>
      </c>
      <c r="BH67" s="40">
        <f>IFERROR(BG67/(1+BG67),"")</f>
        <v/>
      </c>
      <c r="BI67" s="40">
        <f>IFERROR(IF(BH67&gt;=1,1E9,BH67/(1-BH67)),"")</f>
        <v/>
      </c>
      <c r="BJ67" s="40">
        <f>IFERROR(EXP((AC67-0.372)/(0.372*(1-0.372))),"")</f>
        <v/>
      </c>
      <c r="BK67" s="40">
        <f>IFERROR(EXP((AK67-0.415)/(0.415*(1-0.415))),"")</f>
        <v/>
      </c>
      <c r="BL67" s="40">
        <f>IFERROR(EXP((AT67-0.405)/(0.405*(1-0.405))),"")</f>
        <v/>
      </c>
      <c r="BM67" s="40">
        <f>IFERROR(BI67*BJ67*BK67*BL67,"")</f>
        <v/>
      </c>
      <c r="BN67" s="40">
        <f>IFERROR(BM67/(1+BM67),"")</f>
        <v/>
      </c>
      <c r="BO67" s="40">
        <f>IFERROR(IF(AC67&gt;=1,0.999,1-EXP(1-(1-AC67)^(-0.8))),"")</f>
        <v/>
      </c>
      <c r="BP67" s="40">
        <f>IFERROR(IF(AK67&gt;=1,0.999,1-EXP(1-(1-AK67)^(-0.75))),"")</f>
        <v/>
      </c>
      <c r="BQ67" s="40">
        <f>IFERROR(1-EXP(-AL67*(1+AL67)),"")</f>
        <v/>
      </c>
      <c r="BR67" s="40">
        <f>IFERROR(BQ67^(1-AO67)*AP67*(4*AQ67*(1-AQ67))*AR67^1.15,"")</f>
        <v/>
      </c>
      <c r="BS67" s="40">
        <f>IFERROR(IF(BR67^(1/3)&gt;=1,0.999,1-EXP(1-(1-BR67^(1/3))^(-0.7))),"")</f>
        <v/>
      </c>
      <c r="BT67" s="40">
        <f>1</f>
        <v/>
      </c>
      <c r="BU67" s="40">
        <f>IFERROR(EXP((BO67-0.372)/(0.372*(1-0.372))),"")</f>
        <v/>
      </c>
      <c r="BV67" s="40">
        <f>IFERROR(EXP((BP67-0.415)/(0.415*(1-0.415))),"")</f>
        <v/>
      </c>
      <c r="BW67" s="40">
        <f>IFERROR(EXP((BS67-0.405)/(0.405*(1-0.405))),"")</f>
        <v/>
      </c>
      <c r="BX67" s="40">
        <f>IFERROR(BT67*BU67*BV67*BW67,"")</f>
        <v/>
      </c>
      <c r="BY67" s="40">
        <f>IFERROR(BX67/(1+BX67),"")</f>
        <v/>
      </c>
      <c r="BZ67" s="40">
        <f>IFERROR(EXP(0.15*(SQRT(BH67)-0.5)/(0.5*0.5)),"")</f>
        <v/>
      </c>
      <c r="CA67" s="40">
        <f>IFERROR(IF(BY67&gt;=1,1E9,BY67/(1-BY67)*BZ67),"")</f>
        <v/>
      </c>
      <c r="CB67" s="40">
        <f>IFERROR(CA67/(1+CA67),"")</f>
        <v/>
      </c>
      <c r="CC67" s="42">
        <f>BH67</f>
        <v/>
      </c>
      <c r="CD67" s="42">
        <f>BN67</f>
        <v/>
      </c>
      <c r="CE67" s="42">
        <f>CB67</f>
        <v/>
      </c>
      <c r="CF67" s="43" t="inlineStr">
        <is>
          <t>True. Well documented trend. Moderately emotionally charged.</t>
        </is>
      </c>
    </row>
    <row r="68" ht="40" customHeight="1">
      <c r="A68" s="48" t="n">
        <v>66</v>
      </c>
      <c r="B68" s="49" t="inlineStr">
        <is>
          <t>Speaking French in a professional context in Morocco signals higher social status than speaking Arabic.</t>
        </is>
      </c>
      <c r="C68" s="48" t="inlineStr">
        <is>
          <t>Social</t>
        </is>
      </c>
      <c r="D68" s="39" t="n">
        <v>0.82</v>
      </c>
      <c r="E68" s="39" t="n">
        <v>0.82</v>
      </c>
      <c r="F68" s="39" t="n">
        <v>0.8</v>
      </c>
      <c r="G68" s="39" t="n">
        <v>0.82</v>
      </c>
      <c r="H68" s="40">
        <f>IFERROR(AVERAGE(D68,E68,F68,G68),"")</f>
        <v/>
      </c>
      <c r="I68" s="39" t="n">
        <v>0.68</v>
      </c>
      <c r="J68" s="39" t="n">
        <v>0.65</v>
      </c>
      <c r="K68" s="39" t="n">
        <v>0.68</v>
      </c>
      <c r="L68" s="39" t="n">
        <v>0.62</v>
      </c>
      <c r="M68" s="40">
        <f>IFERROR(AVERAGE(I68,J68,K68,L68),"")</f>
        <v/>
      </c>
      <c r="N68" s="39" t="n">
        <v>0.55</v>
      </c>
      <c r="O68" s="39" t="n">
        <v>0.72</v>
      </c>
      <c r="P68" s="40">
        <f>IFERROR(IF(H68=0,0,H68^(H68^(-0.5)))*SQRT(M68)*((4*N68+O68)/5),"")</f>
        <v/>
      </c>
      <c r="Q68" s="39" t="n">
        <v>0.42</v>
      </c>
      <c r="R68" s="39" t="n">
        <v>0.85</v>
      </c>
      <c r="S68" s="39" t="n">
        <v>0.82</v>
      </c>
      <c r="T68" s="39" t="n">
        <v>0.78</v>
      </c>
      <c r="U68" s="40">
        <f>IFERROR(((Q68^1.4+T68)/2)*R68*(1-EXP(-4.605*S68)),"")</f>
        <v/>
      </c>
      <c r="V68" s="39" t="n">
        <v>0.6</v>
      </c>
      <c r="W68" s="39" t="n">
        <v>0.65</v>
      </c>
      <c r="X68" s="39" t="n">
        <v>0.6</v>
      </c>
      <c r="Y68" s="39" t="n">
        <v>0.65</v>
      </c>
      <c r="Z68" s="39" t="n">
        <v>0.45</v>
      </c>
      <c r="AA68" s="39" t="n">
        <v>0.65</v>
      </c>
      <c r="AB68" s="40">
        <f>IFERROR(Z68*(Y68*AA68^1.1)^1.1*((3*V68+2*W68+X68)/6)^0.5,"")</f>
        <v/>
      </c>
      <c r="AC68" s="40">
        <f>IFERROR(SQRT(AB68),"")</f>
        <v/>
      </c>
      <c r="AD68" s="39" t="n">
        <v>0.6</v>
      </c>
      <c r="AE68" s="39" t="n">
        <v>0.4</v>
      </c>
      <c r="AF68" s="40">
        <f>IFERROR(AE68*(1-AE68*H68),"")</f>
        <v/>
      </c>
      <c r="AG68" s="39" t="n">
        <v>0.58</v>
      </c>
      <c r="AH68" s="39" t="n">
        <v>0.72</v>
      </c>
      <c r="AI68" s="39" t="n">
        <v>0.65</v>
      </c>
      <c r="AJ68" s="40">
        <f>IFERROR(AH68^2.1*AG68^0.2*(2*AF68+3*AI68+AD68)/6,"")</f>
        <v/>
      </c>
      <c r="AK68" s="40">
        <f>IFERROR(SQRT(AJ68),"")</f>
        <v/>
      </c>
      <c r="AL68" s="39" t="n">
        <v>0.35</v>
      </c>
      <c r="AM68" s="40">
        <f>IFERROR(1-EXP(-AL68),"")</f>
        <v/>
      </c>
      <c r="AN68" s="40">
        <f>IFERROR(4.18*AM68^0.7*(1-AM68)^1.5,"")</f>
        <v/>
      </c>
      <c r="AO68" s="39" t="n">
        <v>0.65</v>
      </c>
      <c r="AP68" s="39" t="n">
        <v>0.52</v>
      </c>
      <c r="AQ68" s="39" t="n">
        <v>0.62</v>
      </c>
      <c r="AR68" s="39" t="n">
        <v>0.72</v>
      </c>
      <c r="AS68" s="40">
        <f>IFERROR(AN68^(1-AO68)*AP68*(4*AQ68*(1-AQ68))*AR68^1.15,"")</f>
        <v/>
      </c>
      <c r="AT68" s="40">
        <f>IFERROR(AS68^(1/3),"")</f>
        <v/>
      </c>
      <c r="AU68" s="39" t="n">
        <v>1.5</v>
      </c>
      <c r="AV68" s="39" t="n">
        <v>2</v>
      </c>
      <c r="AW68" s="40">
        <f>IFERROR(IF(AV68&lt;=1,AU68,AU68*(1+(AV68-1)*0.6)),"")</f>
        <v/>
      </c>
      <c r="AX68" s="39" t="n">
        <v>0.8</v>
      </c>
      <c r="AY68" s="39" t="n">
        <v>0.32</v>
      </c>
      <c r="AZ68" s="41" t="n">
        <v>0.5</v>
      </c>
      <c r="BA68" s="40">
        <f>IFERROR(AZ68/(1-AZ68),"")</f>
        <v/>
      </c>
      <c r="BB68" s="40">
        <f>IFERROR(EXP((P68-0.301)/(0.301*(1-0.301))),"")</f>
        <v/>
      </c>
      <c r="BC68" s="40">
        <f>IFERROR(EXP((U68-0.354)/(0.354*(1-0.354))),"")</f>
        <v/>
      </c>
      <c r="BD68" s="40">
        <f>IFERROR(AW68,"")</f>
        <v/>
      </c>
      <c r="BE68" s="40">
        <f>IFERROR(EXP((AX68-0.75)/(0.75*(1-0.75))),"")</f>
        <v/>
      </c>
      <c r="BF68" s="40">
        <f>IFERROR(EXP((AY68-0.5)/(0.5*(1-0.5))),"")</f>
        <v/>
      </c>
      <c r="BG68" s="40">
        <f>IFERROR(BA68*BB68*BC68*BD68*BE68*BF68,"")</f>
        <v/>
      </c>
      <c r="BH68" s="40">
        <f>IFERROR(BG68/(1+BG68),"")</f>
        <v/>
      </c>
      <c r="BI68" s="40">
        <f>IFERROR(IF(BH68&gt;=1,1E9,BH68/(1-BH68)),"")</f>
        <v/>
      </c>
      <c r="BJ68" s="40">
        <f>IFERROR(EXP((AC68-0.372)/(0.372*(1-0.372))),"")</f>
        <v/>
      </c>
      <c r="BK68" s="40">
        <f>IFERROR(EXP((AK68-0.415)/(0.415*(1-0.415))),"")</f>
        <v/>
      </c>
      <c r="BL68" s="40">
        <f>IFERROR(EXP((AT68-0.405)/(0.405*(1-0.405))),"")</f>
        <v/>
      </c>
      <c r="BM68" s="40">
        <f>IFERROR(BI68*BJ68*BK68*BL68,"")</f>
        <v/>
      </c>
      <c r="BN68" s="40">
        <f>IFERROR(BM68/(1+BM68),"")</f>
        <v/>
      </c>
      <c r="BO68" s="40">
        <f>IFERROR(IF(AC68&gt;=1,0.999,1-EXP(1-(1-AC68)^(-0.8))),"")</f>
        <v/>
      </c>
      <c r="BP68" s="40">
        <f>IFERROR(IF(AK68&gt;=1,0.999,1-EXP(1-(1-AK68)^(-0.75))),"")</f>
        <v/>
      </c>
      <c r="BQ68" s="40">
        <f>IFERROR(1-EXP(-AL68*(1+AL68)),"")</f>
        <v/>
      </c>
      <c r="BR68" s="40">
        <f>IFERROR(BQ68^(1-AO68)*AP68*(4*AQ68*(1-AQ68))*AR68^1.15,"")</f>
        <v/>
      </c>
      <c r="BS68" s="40">
        <f>IFERROR(IF(BR68^(1/3)&gt;=1,0.999,1-EXP(1-(1-BR68^(1/3))^(-0.7))),"")</f>
        <v/>
      </c>
      <c r="BT68" s="40">
        <f>1</f>
        <v/>
      </c>
      <c r="BU68" s="40">
        <f>IFERROR(EXP((BO68-0.372)/(0.372*(1-0.372))),"")</f>
        <v/>
      </c>
      <c r="BV68" s="40">
        <f>IFERROR(EXP((BP68-0.415)/(0.415*(1-0.415))),"")</f>
        <v/>
      </c>
      <c r="BW68" s="40">
        <f>IFERROR(EXP((BS68-0.405)/(0.405*(1-0.405))),"")</f>
        <v/>
      </c>
      <c r="BX68" s="40">
        <f>IFERROR(BT68*BU68*BV68*BW68,"")</f>
        <v/>
      </c>
      <c r="BY68" s="40">
        <f>IFERROR(BX68/(1+BX68),"")</f>
        <v/>
      </c>
      <c r="BZ68" s="40">
        <f>IFERROR(EXP(0.15*(SQRT(BH68)-0.5)/(0.5*0.5)),"")</f>
        <v/>
      </c>
      <c r="CA68" s="40">
        <f>IFERROR(IF(BY68&gt;=1,1E9,BY68/(1-BY68)*BZ68),"")</f>
        <v/>
      </c>
      <c r="CB68" s="40">
        <f>IFERROR(CA68/(1+CA68),"")</f>
        <v/>
      </c>
      <c r="CC68" s="42">
        <f>BH68</f>
        <v/>
      </c>
      <c r="CD68" s="42">
        <f>BN68</f>
        <v/>
      </c>
      <c r="CE68" s="42">
        <f>CB68</f>
        <v/>
      </c>
      <c r="CF68" s="43" t="inlineStr">
        <is>
          <t>True. Not heavily contested. Widely acknowledged social reality.</t>
        </is>
      </c>
    </row>
    <row r="69" ht="40" customHeight="1">
      <c r="A69" s="48" t="n">
        <v>67</v>
      </c>
      <c r="B69" s="49" t="inlineStr">
        <is>
          <t>WhatsApp is the primary source of daily news for a majority of Moroccans across all age groups.</t>
        </is>
      </c>
      <c r="C69" s="48" t="inlineStr">
        <is>
          <t>Social</t>
        </is>
      </c>
      <c r="D69" s="39" t="n">
        <v>0.85</v>
      </c>
      <c r="E69" s="39" t="n">
        <v>0.85</v>
      </c>
      <c r="F69" s="39" t="n">
        <v>0.82</v>
      </c>
      <c r="G69" s="39" t="n">
        <v>0.85</v>
      </c>
      <c r="H69" s="40">
        <f>IFERROR(AVERAGE(D69,E69,F69,G69),"")</f>
        <v/>
      </c>
      <c r="I69" s="39" t="n">
        <v>0.75</v>
      </c>
      <c r="J69" s="39" t="n">
        <v>0.7</v>
      </c>
      <c r="K69" s="39" t="n">
        <v>0.72</v>
      </c>
      <c r="L69" s="39" t="n">
        <v>0.65</v>
      </c>
      <c r="M69" s="40">
        <f>IFERROR(AVERAGE(I69,J69,K69,L69),"")</f>
        <v/>
      </c>
      <c r="N69" s="39" t="n">
        <v>0.62</v>
      </c>
      <c r="O69" s="39" t="n">
        <v>0.78</v>
      </c>
      <c r="P69" s="40">
        <f>IFERROR(IF(H69=0,0,H69^(H69^(-0.5)))*SQRT(M69)*((4*N69+O69)/5),"")</f>
        <v/>
      </c>
      <c r="Q69" s="39" t="n">
        <v>0.35</v>
      </c>
      <c r="R69" s="39" t="n">
        <v>0.9</v>
      </c>
      <c r="S69" s="39" t="n">
        <v>0.88</v>
      </c>
      <c r="T69" s="39" t="n">
        <v>0.82</v>
      </c>
      <c r="U69" s="40">
        <f>IFERROR(((Q69^1.4+T69)/2)*R69*(1-EXP(-4.605*S69)),"")</f>
        <v/>
      </c>
      <c r="V69" s="39" t="n">
        <v>0.65</v>
      </c>
      <c r="W69" s="39" t="n">
        <v>0.7</v>
      </c>
      <c r="X69" s="39" t="n">
        <v>0.6</v>
      </c>
      <c r="Y69" s="39" t="n">
        <v>0.7</v>
      </c>
      <c r="Z69" s="39" t="n">
        <v>0.5</v>
      </c>
      <c r="AA69" s="39" t="n">
        <v>0.72</v>
      </c>
      <c r="AB69" s="40">
        <f>IFERROR(Z69*(Y69*AA69^1.1)^1.1*((3*V69+2*W69+X69)/6)^0.5,"")</f>
        <v/>
      </c>
      <c r="AC69" s="40">
        <f>IFERROR(SQRT(AB69),"")</f>
        <v/>
      </c>
      <c r="AD69" s="39" t="n">
        <v>0.68</v>
      </c>
      <c r="AE69" s="39" t="n">
        <v>0.5</v>
      </c>
      <c r="AF69" s="40">
        <f>IFERROR(AE69*(1-AE69*H69),"")</f>
        <v/>
      </c>
      <c r="AG69" s="39" t="n">
        <v>0.65</v>
      </c>
      <c r="AH69" s="39" t="n">
        <v>0.8</v>
      </c>
      <c r="AI69" s="39" t="n">
        <v>0.7</v>
      </c>
      <c r="AJ69" s="40">
        <f>IFERROR(AH69^2.1*AG69^0.2*(2*AF69+3*AI69+AD69)/6,"")</f>
        <v/>
      </c>
      <c r="AK69" s="40">
        <f>IFERROR(SQRT(AJ69),"")</f>
        <v/>
      </c>
      <c r="AL69" s="39" t="n">
        <v>0.3</v>
      </c>
      <c r="AM69" s="40">
        <f>IFERROR(1-EXP(-AL69),"")</f>
        <v/>
      </c>
      <c r="AN69" s="40">
        <f>IFERROR(4.18*AM69^0.7*(1-AM69)^1.5,"")</f>
        <v/>
      </c>
      <c r="AO69" s="39" t="n">
        <v>0.68</v>
      </c>
      <c r="AP69" s="39" t="n">
        <v>0.52</v>
      </c>
      <c r="AQ69" s="39" t="n">
        <v>0.6</v>
      </c>
      <c r="AR69" s="39" t="n">
        <v>0.78</v>
      </c>
      <c r="AS69" s="40">
        <f>IFERROR(AN69^(1-AO69)*AP69*(4*AQ69*(1-AQ69))*AR69^1.15,"")</f>
        <v/>
      </c>
      <c r="AT69" s="40">
        <f>IFERROR(AS69^(1/3),"")</f>
        <v/>
      </c>
      <c r="AU69" s="39" t="n">
        <v>2.5</v>
      </c>
      <c r="AV69" s="39" t="n">
        <v>3</v>
      </c>
      <c r="AW69" s="40">
        <f>IFERROR(IF(AV69&lt;=1,AU69,AU69*(1+(AV69-1)*0.6)),"")</f>
        <v/>
      </c>
      <c r="AX69" s="39" t="n">
        <v>0.9</v>
      </c>
      <c r="AY69" s="39" t="n">
        <v>0.52</v>
      </c>
      <c r="AZ69" s="41" t="n">
        <v>0.5</v>
      </c>
      <c r="BA69" s="40">
        <f>IFERROR(AZ69/(1-AZ69),"")</f>
        <v/>
      </c>
      <c r="BB69" s="40">
        <f>IFERROR(EXP((P69-0.301)/(0.301*(1-0.301))),"")</f>
        <v/>
      </c>
      <c r="BC69" s="40">
        <f>IFERROR(EXP((U69-0.354)/(0.354*(1-0.354))),"")</f>
        <v/>
      </c>
      <c r="BD69" s="40">
        <f>IFERROR(AW69,"")</f>
        <v/>
      </c>
      <c r="BE69" s="40">
        <f>IFERROR(EXP((AX69-0.75)/(0.75*(1-0.75))),"")</f>
        <v/>
      </c>
      <c r="BF69" s="40">
        <f>IFERROR(EXP((AY69-0.5)/(0.5*(1-0.5))),"")</f>
        <v/>
      </c>
      <c r="BG69" s="40">
        <f>IFERROR(BA69*BB69*BC69*BD69*BE69*BF69,"")</f>
        <v/>
      </c>
      <c r="BH69" s="40">
        <f>IFERROR(BG69/(1+BG69),"")</f>
        <v/>
      </c>
      <c r="BI69" s="40">
        <f>IFERROR(IF(BH69&gt;=1,1E9,BH69/(1-BH69)),"")</f>
        <v/>
      </c>
      <c r="BJ69" s="40">
        <f>IFERROR(EXP((AC69-0.372)/(0.372*(1-0.372))),"")</f>
        <v/>
      </c>
      <c r="BK69" s="40">
        <f>IFERROR(EXP((AK69-0.415)/(0.415*(1-0.415))),"")</f>
        <v/>
      </c>
      <c r="BL69" s="40">
        <f>IFERROR(EXP((AT69-0.405)/(0.405*(1-0.405))),"")</f>
        <v/>
      </c>
      <c r="BM69" s="40">
        <f>IFERROR(BI69*BJ69*BK69*BL69,"")</f>
        <v/>
      </c>
      <c r="BN69" s="40">
        <f>IFERROR(BM69/(1+BM69),"")</f>
        <v/>
      </c>
      <c r="BO69" s="40">
        <f>IFERROR(IF(AC69&gt;=1,0.999,1-EXP(1-(1-AC69)^(-0.8))),"")</f>
        <v/>
      </c>
      <c r="BP69" s="40">
        <f>IFERROR(IF(AK69&gt;=1,0.999,1-EXP(1-(1-AK69)^(-0.75))),"")</f>
        <v/>
      </c>
      <c r="BQ69" s="40">
        <f>IFERROR(1-EXP(-AL69*(1+AL69)),"")</f>
        <v/>
      </c>
      <c r="BR69" s="40">
        <f>IFERROR(BQ69^(1-AO69)*AP69*(4*AQ69*(1-AQ69))*AR69^1.15,"")</f>
        <v/>
      </c>
      <c r="BS69" s="40">
        <f>IFERROR(IF(BR69^(1/3)&gt;=1,0.999,1-EXP(1-(1-BR69^(1/3))^(-0.7))),"")</f>
        <v/>
      </c>
      <c r="BT69" s="40">
        <f>1</f>
        <v/>
      </c>
      <c r="BU69" s="40">
        <f>IFERROR(EXP((BO69-0.372)/(0.372*(1-0.372))),"")</f>
        <v/>
      </c>
      <c r="BV69" s="40">
        <f>IFERROR(EXP((BP69-0.415)/(0.415*(1-0.415))),"")</f>
        <v/>
      </c>
      <c r="BW69" s="40">
        <f>IFERROR(EXP((BS69-0.405)/(0.405*(1-0.405))),"")</f>
        <v/>
      </c>
      <c r="BX69" s="40">
        <f>IFERROR(BT69*BU69*BV69*BW69,"")</f>
        <v/>
      </c>
      <c r="BY69" s="40">
        <f>IFERROR(BX69/(1+BX69),"")</f>
        <v/>
      </c>
      <c r="BZ69" s="40">
        <f>IFERROR(EXP(0.15*(SQRT(BH69)-0.5)/(0.5*0.5)),"")</f>
        <v/>
      </c>
      <c r="CA69" s="40">
        <f>IFERROR(IF(BY69&gt;=1,1E9,BY69/(1-BY69)*BZ69),"")</f>
        <v/>
      </c>
      <c r="CB69" s="40">
        <f>IFERROR(CA69/(1+CA69),"")</f>
        <v/>
      </c>
      <c r="CC69" s="42">
        <f>BH69</f>
        <v/>
      </c>
      <c r="CD69" s="42">
        <f>BN69</f>
        <v/>
      </c>
      <c r="CE69" s="42">
        <f>CB69</f>
        <v/>
      </c>
      <c r="CF69" s="43" t="inlineStr">
        <is>
          <t>True. Well documented. Receiver already knows - N_raw low.</t>
        </is>
      </c>
    </row>
    <row r="70" ht="40" customHeight="1">
      <c r="A70" s="48" t="n">
        <v>68</v>
      </c>
      <c r="B70" s="49" t="inlineStr">
        <is>
          <t>Moroccans are generally more media-literate than outsiders assume — skepticism toward news sources increases with media exposure.</t>
        </is>
      </c>
      <c r="C70" s="48" t="inlineStr">
        <is>
          <t>Social</t>
        </is>
      </c>
      <c r="D70" s="39" t="n">
        <v>0.8</v>
      </c>
      <c r="E70" s="39" t="n">
        <v>0.8</v>
      </c>
      <c r="F70" s="39" t="n">
        <v>0.78</v>
      </c>
      <c r="G70" s="39" t="n">
        <v>0.8</v>
      </c>
      <c r="H70" s="40">
        <f>IFERROR(AVERAGE(D70,E70,F70,G70),"")</f>
        <v/>
      </c>
      <c r="I70" s="39" t="n">
        <v>0.65</v>
      </c>
      <c r="J70" s="39" t="n">
        <v>0.62</v>
      </c>
      <c r="K70" s="39" t="n">
        <v>0.65</v>
      </c>
      <c r="L70" s="39" t="n">
        <v>0.6</v>
      </c>
      <c r="M70" s="40">
        <f>IFERROR(AVERAGE(I70,J70,K70,L70),"")</f>
        <v/>
      </c>
      <c r="N70" s="39" t="n">
        <v>0.52</v>
      </c>
      <c r="O70" s="39" t="n">
        <v>0.68</v>
      </c>
      <c r="P70" s="40">
        <f>IFERROR(IF(H70=0,0,H70^(H70^(-0.5)))*SQRT(M70)*((4*N70+O70)/5),"")</f>
        <v/>
      </c>
      <c r="Q70" s="39" t="n">
        <v>0.5</v>
      </c>
      <c r="R70" s="39" t="n">
        <v>0.8</v>
      </c>
      <c r="S70" s="39" t="n">
        <v>0.78</v>
      </c>
      <c r="T70" s="39" t="n">
        <v>0.75</v>
      </c>
      <c r="U70" s="40">
        <f>IFERROR(((Q70^1.4+T70)/2)*R70*(1-EXP(-4.605*S70)),"")</f>
        <v/>
      </c>
      <c r="V70" s="39" t="n">
        <v>0.58</v>
      </c>
      <c r="W70" s="39" t="n">
        <v>0.62</v>
      </c>
      <c r="X70" s="39" t="n">
        <v>0.6</v>
      </c>
      <c r="Y70" s="39" t="n">
        <v>0.62</v>
      </c>
      <c r="Z70" s="39" t="n">
        <v>0.42</v>
      </c>
      <c r="AA70" s="39" t="n">
        <v>0.62</v>
      </c>
      <c r="AB70" s="40">
        <f>IFERROR(Z70*(Y70*AA70^1.1)^1.1*((3*V70+2*W70+X70)/6)^0.5,"")</f>
        <v/>
      </c>
      <c r="AC70" s="40">
        <f>IFERROR(SQRT(AB70),"")</f>
        <v/>
      </c>
      <c r="AD70" s="39" t="n">
        <v>0.58</v>
      </c>
      <c r="AE70" s="39" t="n">
        <v>0.4</v>
      </c>
      <c r="AF70" s="40">
        <f>IFERROR(AE70*(1-AE70*H70),"")</f>
        <v/>
      </c>
      <c r="AG70" s="39" t="n">
        <v>0.55</v>
      </c>
      <c r="AH70" s="39" t="n">
        <v>0.62</v>
      </c>
      <c r="AI70" s="39" t="n">
        <v>0.62</v>
      </c>
      <c r="AJ70" s="40">
        <f>IFERROR(AH70^2.1*AG70^0.2*(2*AF70+3*AI70+AD70)/6,"")</f>
        <v/>
      </c>
      <c r="AK70" s="40">
        <f>IFERROR(SQRT(AJ70),"")</f>
        <v/>
      </c>
      <c r="AL70" s="39" t="n">
        <v>0.7</v>
      </c>
      <c r="AM70" s="40">
        <f>IFERROR(1-EXP(-AL70),"")</f>
        <v/>
      </c>
      <c r="AN70" s="40">
        <f>IFERROR(4.18*AM70^0.7*(1-AM70)^1.5,"")</f>
        <v/>
      </c>
      <c r="AO70" s="39" t="n">
        <v>0.65</v>
      </c>
      <c r="AP70" s="39" t="n">
        <v>0.52</v>
      </c>
      <c r="AQ70" s="39" t="n">
        <v>0.6</v>
      </c>
      <c r="AR70" s="39" t="n">
        <v>0.68</v>
      </c>
      <c r="AS70" s="40">
        <f>IFERROR(AN70^(1-AO70)*AP70*(4*AQ70*(1-AQ70))*AR70^1.15,"")</f>
        <v/>
      </c>
      <c r="AT70" s="40">
        <f>IFERROR(AS70^(1/3),"")</f>
        <v/>
      </c>
      <c r="AU70" s="39" t="n">
        <v>1.2</v>
      </c>
      <c r="AV70" s="39" t="n">
        <v>2</v>
      </c>
      <c r="AW70" s="40">
        <f>IFERROR(IF(AV70&lt;=1,AU70,AU70*(1+(AV70-1)*0.6)),"")</f>
        <v/>
      </c>
      <c r="AX70" s="39" t="n">
        <v>0.7</v>
      </c>
      <c r="AY70" s="39" t="n">
        <v>0.28</v>
      </c>
      <c r="AZ70" s="41" t="n">
        <v>0.5</v>
      </c>
      <c r="BA70" s="40">
        <f>IFERROR(AZ70/(1-AZ70),"")</f>
        <v/>
      </c>
      <c r="BB70" s="40">
        <f>IFERROR(EXP((P70-0.301)/(0.301*(1-0.301))),"")</f>
        <v/>
      </c>
      <c r="BC70" s="40">
        <f>IFERROR(EXP((U70-0.354)/(0.354*(1-0.354))),"")</f>
        <v/>
      </c>
      <c r="BD70" s="40">
        <f>IFERROR(AW70,"")</f>
        <v/>
      </c>
      <c r="BE70" s="40">
        <f>IFERROR(EXP((AX70-0.75)/(0.75*(1-0.75))),"")</f>
        <v/>
      </c>
      <c r="BF70" s="40">
        <f>IFERROR(EXP((AY70-0.5)/(0.5*(1-0.5))),"")</f>
        <v/>
      </c>
      <c r="BG70" s="40">
        <f>IFERROR(BA70*BB70*BC70*BD70*BE70*BF70,"")</f>
        <v/>
      </c>
      <c r="BH70" s="40">
        <f>IFERROR(BG70/(1+BG70),"")</f>
        <v/>
      </c>
      <c r="BI70" s="40">
        <f>IFERROR(IF(BH70&gt;=1,1E9,BH70/(1-BH70)),"")</f>
        <v/>
      </c>
      <c r="BJ70" s="40">
        <f>IFERROR(EXP((AC70-0.372)/(0.372*(1-0.372))),"")</f>
        <v/>
      </c>
      <c r="BK70" s="40">
        <f>IFERROR(EXP((AK70-0.415)/(0.415*(1-0.415))),"")</f>
        <v/>
      </c>
      <c r="BL70" s="40">
        <f>IFERROR(EXP((AT70-0.405)/(0.405*(1-0.405))),"")</f>
        <v/>
      </c>
      <c r="BM70" s="40">
        <f>IFERROR(BI70*BJ70*BK70*BL70,"")</f>
        <v/>
      </c>
      <c r="BN70" s="40">
        <f>IFERROR(BM70/(1+BM70),"")</f>
        <v/>
      </c>
      <c r="BO70" s="40">
        <f>IFERROR(IF(AC70&gt;=1,0.999,1-EXP(1-(1-AC70)^(-0.8))),"")</f>
        <v/>
      </c>
      <c r="BP70" s="40">
        <f>IFERROR(IF(AK70&gt;=1,0.999,1-EXP(1-(1-AK70)^(-0.75))),"")</f>
        <v/>
      </c>
      <c r="BQ70" s="40">
        <f>IFERROR(1-EXP(-AL70*(1+AL70)),"")</f>
        <v/>
      </c>
      <c r="BR70" s="40">
        <f>IFERROR(BQ70^(1-AO70)*AP70*(4*AQ70*(1-AQ70))*AR70^1.15,"")</f>
        <v/>
      </c>
      <c r="BS70" s="40">
        <f>IFERROR(IF(BR70^(1/3)&gt;=1,0.999,1-EXP(1-(1-BR70^(1/3))^(-0.7))),"")</f>
        <v/>
      </c>
      <c r="BT70" s="40">
        <f>1</f>
        <v/>
      </c>
      <c r="BU70" s="40">
        <f>IFERROR(EXP((BO70-0.372)/(0.372*(1-0.372))),"")</f>
        <v/>
      </c>
      <c r="BV70" s="40">
        <f>IFERROR(EXP((BP70-0.415)/(0.415*(1-0.415))),"")</f>
        <v/>
      </c>
      <c r="BW70" s="40">
        <f>IFERROR(EXP((BS70-0.405)/(0.405*(1-0.405))),"")</f>
        <v/>
      </c>
      <c r="BX70" s="40">
        <f>IFERROR(BT70*BU70*BV70*BW70,"")</f>
        <v/>
      </c>
      <c r="BY70" s="40">
        <f>IFERROR(BX70/(1+BX70),"")</f>
        <v/>
      </c>
      <c r="BZ70" s="40">
        <f>IFERROR(EXP(0.15*(SQRT(BH70)-0.5)/(0.5*0.5)),"")</f>
        <v/>
      </c>
      <c r="CA70" s="40">
        <f>IFERROR(IF(BY70&gt;=1,1E9,BY70/(1-BY70)*BZ70),"")</f>
        <v/>
      </c>
      <c r="CB70" s="40">
        <f>IFERROR(CA70/(1+CA70),"")</f>
        <v/>
      </c>
      <c r="CC70" s="42">
        <f>BH70</f>
        <v/>
      </c>
      <c r="CD70" s="42">
        <f>BN70</f>
        <v/>
      </c>
      <c r="CE70" s="42">
        <f>CB70</f>
        <v/>
      </c>
      <c r="CF70" s="43" t="inlineStr">
        <is>
          <t>Receiver's observation. Not a lot of opposition but not dominant view.</t>
        </is>
      </c>
    </row>
    <row r="71" ht="40" customHeight="1">
      <c r="A71" s="48" t="n">
        <v>69</v>
      </c>
      <c r="B71" s="49" t="inlineStr">
        <is>
          <t>Hespress is the most widely read news website in Morocco but is considered sensationalist by many educated readers.</t>
        </is>
      </c>
      <c r="C71" s="48" t="inlineStr">
        <is>
          <t>Social</t>
        </is>
      </c>
      <c r="D71" s="39" t="n">
        <v>0.82</v>
      </c>
      <c r="E71" s="39" t="n">
        <v>0.82</v>
      </c>
      <c r="F71" s="39" t="n">
        <v>0.8</v>
      </c>
      <c r="G71" s="39" t="n">
        <v>0.82</v>
      </c>
      <c r="H71" s="40">
        <f>IFERROR(AVERAGE(D71,E71,F71,G71),"")</f>
        <v/>
      </c>
      <c r="I71" s="39" t="n">
        <v>0.68</v>
      </c>
      <c r="J71" s="39" t="n">
        <v>0.65</v>
      </c>
      <c r="K71" s="39" t="n">
        <v>0.68</v>
      </c>
      <c r="L71" s="39" t="n">
        <v>0.62</v>
      </c>
      <c r="M71" s="40">
        <f>IFERROR(AVERAGE(I71,J71,K71,L71),"")</f>
        <v/>
      </c>
      <c r="N71" s="39" t="n">
        <v>0.58</v>
      </c>
      <c r="O71" s="39" t="n">
        <v>0.72</v>
      </c>
      <c r="P71" s="40">
        <f>IFERROR(IF(H71=0,0,H71^(H71^(-0.5)))*SQRT(M71)*((4*N71+O71)/5),"")</f>
        <v/>
      </c>
      <c r="Q71" s="39" t="n">
        <v>0.4</v>
      </c>
      <c r="R71" s="39" t="n">
        <v>0.85</v>
      </c>
      <c r="S71" s="39" t="n">
        <v>0.82</v>
      </c>
      <c r="T71" s="39" t="n">
        <v>0.8</v>
      </c>
      <c r="U71" s="40">
        <f>IFERROR(((Q71^1.4+T71)/2)*R71*(1-EXP(-4.605*S71)),"")</f>
        <v/>
      </c>
      <c r="V71" s="39" t="n">
        <v>0.62</v>
      </c>
      <c r="W71" s="39" t="n">
        <v>0.68</v>
      </c>
      <c r="X71" s="39" t="n">
        <v>0.6</v>
      </c>
      <c r="Y71" s="39" t="n">
        <v>0.68</v>
      </c>
      <c r="Z71" s="39" t="n">
        <v>0.45</v>
      </c>
      <c r="AA71" s="39" t="n">
        <v>0.68</v>
      </c>
      <c r="AB71" s="40">
        <f>IFERROR(Z71*(Y71*AA71^1.1)^1.1*((3*V71+2*W71+X71)/6)^0.5,"")</f>
        <v/>
      </c>
      <c r="AC71" s="40">
        <f>IFERROR(SQRT(AB71),"")</f>
        <v/>
      </c>
      <c r="AD71" s="39" t="n">
        <v>0.62</v>
      </c>
      <c r="AE71" s="39" t="n">
        <v>0.42</v>
      </c>
      <c r="AF71" s="40">
        <f>IFERROR(AE71*(1-AE71*H71),"")</f>
        <v/>
      </c>
      <c r="AG71" s="39" t="n">
        <v>0.6</v>
      </c>
      <c r="AH71" s="39" t="n">
        <v>0.75</v>
      </c>
      <c r="AI71" s="39" t="n">
        <v>0.65</v>
      </c>
      <c r="AJ71" s="40">
        <f>IFERROR(AH71^2.1*AG71^0.2*(2*AF71+3*AI71+AD71)/6,"")</f>
        <v/>
      </c>
      <c r="AK71" s="40">
        <f>IFERROR(SQRT(AJ71),"")</f>
        <v/>
      </c>
      <c r="AL71" s="39" t="n">
        <v>0.35</v>
      </c>
      <c r="AM71" s="40">
        <f>IFERROR(1-EXP(-AL71),"")</f>
        <v/>
      </c>
      <c r="AN71" s="40">
        <f>IFERROR(4.18*AM71^0.7*(1-AM71)^1.5,"")</f>
        <v/>
      </c>
      <c r="AO71" s="39" t="n">
        <v>0.65</v>
      </c>
      <c r="AP71" s="39" t="n">
        <v>0.52</v>
      </c>
      <c r="AQ71" s="39" t="n">
        <v>0.58</v>
      </c>
      <c r="AR71" s="39" t="n">
        <v>0.72</v>
      </c>
      <c r="AS71" s="40">
        <f>IFERROR(AN71^(1-AO71)*AP71*(4*AQ71*(1-AQ71))*AR71^1.15,"")</f>
        <v/>
      </c>
      <c r="AT71" s="40">
        <f>IFERROR(AS71^(1/3),"")</f>
        <v/>
      </c>
      <c r="AU71" s="39" t="n">
        <v>1.5</v>
      </c>
      <c r="AV71" s="39" t="n">
        <v>2</v>
      </c>
      <c r="AW71" s="40">
        <f>IFERROR(IF(AV71&lt;=1,AU71,AU71*(1+(AV71-1)*0.6)),"")</f>
        <v/>
      </c>
      <c r="AX71" s="39" t="n">
        <v>0.8</v>
      </c>
      <c r="AY71" s="39" t="n">
        <v>0.32</v>
      </c>
      <c r="AZ71" s="41" t="n">
        <v>0.5</v>
      </c>
      <c r="BA71" s="40">
        <f>IFERROR(AZ71/(1-AZ71),"")</f>
        <v/>
      </c>
      <c r="BB71" s="40">
        <f>IFERROR(EXP((P71-0.301)/(0.301*(1-0.301))),"")</f>
        <v/>
      </c>
      <c r="BC71" s="40">
        <f>IFERROR(EXP((U71-0.354)/(0.354*(1-0.354))),"")</f>
        <v/>
      </c>
      <c r="BD71" s="40">
        <f>IFERROR(AW71,"")</f>
        <v/>
      </c>
      <c r="BE71" s="40">
        <f>IFERROR(EXP((AX71-0.75)/(0.75*(1-0.75))),"")</f>
        <v/>
      </c>
      <c r="BF71" s="40">
        <f>IFERROR(EXP((AY71-0.5)/(0.5*(1-0.5))),"")</f>
        <v/>
      </c>
      <c r="BG71" s="40">
        <f>IFERROR(BA71*BB71*BC71*BD71*BE71*BF71,"")</f>
        <v/>
      </c>
      <c r="BH71" s="40">
        <f>IFERROR(BG71/(1+BG71),"")</f>
        <v/>
      </c>
      <c r="BI71" s="40">
        <f>IFERROR(IF(BH71&gt;=1,1E9,BH71/(1-BH71)),"")</f>
        <v/>
      </c>
      <c r="BJ71" s="40">
        <f>IFERROR(EXP((AC71-0.372)/(0.372*(1-0.372))),"")</f>
        <v/>
      </c>
      <c r="BK71" s="40">
        <f>IFERROR(EXP((AK71-0.415)/(0.415*(1-0.415))),"")</f>
        <v/>
      </c>
      <c r="BL71" s="40">
        <f>IFERROR(EXP((AT71-0.405)/(0.405*(1-0.405))),"")</f>
        <v/>
      </c>
      <c r="BM71" s="40">
        <f>IFERROR(BI71*BJ71*BK71*BL71,"")</f>
        <v/>
      </c>
      <c r="BN71" s="40">
        <f>IFERROR(BM71/(1+BM71),"")</f>
        <v/>
      </c>
      <c r="BO71" s="40">
        <f>IFERROR(IF(AC71&gt;=1,0.999,1-EXP(1-(1-AC71)^(-0.8))),"")</f>
        <v/>
      </c>
      <c r="BP71" s="40">
        <f>IFERROR(IF(AK71&gt;=1,0.999,1-EXP(1-(1-AK71)^(-0.75))),"")</f>
        <v/>
      </c>
      <c r="BQ71" s="40">
        <f>IFERROR(1-EXP(-AL71*(1+AL71)),"")</f>
        <v/>
      </c>
      <c r="BR71" s="40">
        <f>IFERROR(BQ71^(1-AO71)*AP71*(4*AQ71*(1-AQ71))*AR71^1.15,"")</f>
        <v/>
      </c>
      <c r="BS71" s="40">
        <f>IFERROR(IF(BR71^(1/3)&gt;=1,0.999,1-EXP(1-(1-BR71^(1/3))^(-0.7))),"")</f>
        <v/>
      </c>
      <c r="BT71" s="40">
        <f>1</f>
        <v/>
      </c>
      <c r="BU71" s="40">
        <f>IFERROR(EXP((BO71-0.372)/(0.372*(1-0.372))),"")</f>
        <v/>
      </c>
      <c r="BV71" s="40">
        <f>IFERROR(EXP((BP71-0.415)/(0.415*(1-0.415))),"")</f>
        <v/>
      </c>
      <c r="BW71" s="40">
        <f>IFERROR(EXP((BS71-0.405)/(0.405*(1-0.405))),"")</f>
        <v/>
      </c>
      <c r="BX71" s="40">
        <f>IFERROR(BT71*BU71*BV71*BW71,"")</f>
        <v/>
      </c>
      <c r="BY71" s="40">
        <f>IFERROR(BX71/(1+BX71),"")</f>
        <v/>
      </c>
      <c r="BZ71" s="40">
        <f>IFERROR(EXP(0.15*(SQRT(BH71)-0.5)/(0.5*0.5)),"")</f>
        <v/>
      </c>
      <c r="CA71" s="40">
        <f>IFERROR(IF(BY71&gt;=1,1E9,BY71/(1-BY71)*BZ71),"")</f>
        <v/>
      </c>
      <c r="CB71" s="40">
        <f>IFERROR(CA71/(1+CA71),"")</f>
        <v/>
      </c>
      <c r="CC71" s="42">
        <f>BH71</f>
        <v/>
      </c>
      <c r="CD71" s="42">
        <f>BN71</f>
        <v/>
      </c>
      <c r="CE71" s="42">
        <f>CB71</f>
        <v/>
      </c>
      <c r="CF71" s="43" t="inlineStr">
        <is>
          <t>Widely acknowledged. A bit of opposition. True observation.</t>
        </is>
      </c>
    </row>
    <row r="72" ht="40" customHeight="1">
      <c r="A72" s="50" t="n">
        <v>70</v>
      </c>
      <c r="B72" s="51" t="inlineStr">
        <is>
          <t>Climate change is primarily caused by human industrial activity — this is the overwhelming consensus among climate scientists worldwide.</t>
        </is>
      </c>
      <c r="C72" s="50" t="inlineStr">
        <is>
          <t>Science</t>
        </is>
      </c>
      <c r="D72" s="39" t="n">
        <v>0.88</v>
      </c>
      <c r="E72" s="39" t="n">
        <v>0.88</v>
      </c>
      <c r="F72" s="39" t="n">
        <v>0.85</v>
      </c>
      <c r="G72" s="39" t="n">
        <v>0.88</v>
      </c>
      <c r="H72" s="40">
        <f>IFERROR(AVERAGE(D72,E72,F72,G72),"")</f>
        <v/>
      </c>
      <c r="I72" s="39" t="n">
        <v>0.95</v>
      </c>
      <c r="J72" s="39" t="n">
        <v>0.92</v>
      </c>
      <c r="K72" s="39" t="n">
        <v>0.9</v>
      </c>
      <c r="L72" s="39" t="n">
        <v>0.88</v>
      </c>
      <c r="M72" s="40">
        <f>IFERROR(AVERAGE(I72,J72,K72,L72),"")</f>
        <v/>
      </c>
      <c r="N72" s="39" t="n">
        <v>0.75</v>
      </c>
      <c r="O72" s="39" t="n">
        <v>0.88</v>
      </c>
      <c r="P72" s="40">
        <f>IFERROR(IF(H72=0,0,H72^(H72^(-0.5)))*SQRT(M72)*((4*N72+O72)/5),"")</f>
        <v/>
      </c>
      <c r="Q72" s="39" t="n">
        <v>0.3</v>
      </c>
      <c r="R72" s="39" t="n">
        <v>0.95</v>
      </c>
      <c r="S72" s="39" t="n">
        <v>0.95</v>
      </c>
      <c r="T72" s="39" t="n">
        <v>0.9</v>
      </c>
      <c r="U72" s="40">
        <f>IFERROR(((Q72^1.4+T72)/2)*R72*(1-EXP(-4.605*S72)),"")</f>
        <v/>
      </c>
      <c r="V72" s="39" t="n">
        <v>0.65</v>
      </c>
      <c r="W72" s="39" t="n">
        <v>0.7</v>
      </c>
      <c r="X72" s="39" t="n">
        <v>0.6</v>
      </c>
      <c r="Y72" s="39" t="n">
        <v>0.72</v>
      </c>
      <c r="Z72" s="39" t="n">
        <v>0.52</v>
      </c>
      <c r="AA72" s="39" t="n">
        <v>0.72</v>
      </c>
      <c r="AB72" s="40">
        <f>IFERROR(Z72*(Y72*AA72^1.1)^1.1*((3*V72+2*W72+X72)/6)^0.5,"")</f>
        <v/>
      </c>
      <c r="AC72" s="40">
        <f>IFERROR(SQRT(AB72),"")</f>
        <v/>
      </c>
      <c r="AD72" s="39" t="n">
        <v>0.68</v>
      </c>
      <c r="AE72" s="39" t="n">
        <v>0.5</v>
      </c>
      <c r="AF72" s="40">
        <f>IFERROR(AE72*(1-AE72*H72),"")</f>
        <v/>
      </c>
      <c r="AG72" s="39" t="n">
        <v>0.68</v>
      </c>
      <c r="AH72" s="39" t="n">
        <v>0.7</v>
      </c>
      <c r="AI72" s="39" t="n">
        <v>0.8</v>
      </c>
      <c r="AJ72" s="40">
        <f>IFERROR(AH72^2.1*AG72^0.2*(2*AF72+3*AI72+AD72)/6,"")</f>
        <v/>
      </c>
      <c r="AK72" s="40">
        <f>IFERROR(SQRT(AJ72),"")</f>
        <v/>
      </c>
      <c r="AL72" s="39" t="n">
        <v>0.4</v>
      </c>
      <c r="AM72" s="40">
        <f>IFERROR(1-EXP(-AL72),"")</f>
        <v/>
      </c>
      <c r="AN72" s="40">
        <f>IFERROR(4.18*AM72^0.7*(1-AM72)^1.5,"")</f>
        <v/>
      </c>
      <c r="AO72" s="39" t="n">
        <v>0.55</v>
      </c>
      <c r="AP72" s="39" t="n">
        <v>0.48</v>
      </c>
      <c r="AQ72" s="39" t="n">
        <v>0.58</v>
      </c>
      <c r="AR72" s="39" t="n">
        <v>0.78</v>
      </c>
      <c r="AS72" s="40">
        <f>IFERROR(AN72^(1-AO72)*AP72*(4*AQ72*(1-AQ72))*AR72^1.15,"")</f>
        <v/>
      </c>
      <c r="AT72" s="40">
        <f>IFERROR(AS72^(1/3),"")</f>
        <v/>
      </c>
      <c r="AU72" s="39" t="n">
        <v>5</v>
      </c>
      <c r="AV72" s="39" t="n">
        <v>6</v>
      </c>
      <c r="AW72" s="40">
        <f>IFERROR(IF(AV72&lt;=1,AU72,AU72*(1+(AV72-1)*0.6)),"")</f>
        <v/>
      </c>
      <c r="AX72" s="39" t="n">
        <v>0.98</v>
      </c>
      <c r="AY72" s="39" t="n">
        <v>0.9</v>
      </c>
      <c r="AZ72" s="41" t="n">
        <v>0.5</v>
      </c>
      <c r="BA72" s="40">
        <f>IFERROR(AZ72/(1-AZ72),"")</f>
        <v/>
      </c>
      <c r="BB72" s="40">
        <f>IFERROR(EXP((P72-0.301)/(0.301*(1-0.301))),"")</f>
        <v/>
      </c>
      <c r="BC72" s="40">
        <f>IFERROR(EXP((U72-0.354)/(0.354*(1-0.354))),"")</f>
        <v/>
      </c>
      <c r="BD72" s="40">
        <f>IFERROR(AW72,"")</f>
        <v/>
      </c>
      <c r="BE72" s="40">
        <f>IFERROR(EXP((AX72-0.75)/(0.75*(1-0.75))),"")</f>
        <v/>
      </c>
      <c r="BF72" s="40">
        <f>IFERROR(EXP((AY72-0.5)/(0.5*(1-0.5))),"")</f>
        <v/>
      </c>
      <c r="BG72" s="40">
        <f>IFERROR(BA72*BB72*BC72*BD72*BE72*BF72,"")</f>
        <v/>
      </c>
      <c r="BH72" s="40">
        <f>IFERROR(BG72/(1+BG72),"")</f>
        <v/>
      </c>
      <c r="BI72" s="40">
        <f>IFERROR(IF(BH72&gt;=1,1E9,BH72/(1-BH72)),"")</f>
        <v/>
      </c>
      <c r="BJ72" s="40">
        <f>IFERROR(EXP((AC72-0.372)/(0.372*(1-0.372))),"")</f>
        <v/>
      </c>
      <c r="BK72" s="40">
        <f>IFERROR(EXP((AK72-0.415)/(0.415*(1-0.415))),"")</f>
        <v/>
      </c>
      <c r="BL72" s="40">
        <f>IFERROR(EXP((AT72-0.405)/(0.405*(1-0.405))),"")</f>
        <v/>
      </c>
      <c r="BM72" s="40">
        <f>IFERROR(BI72*BJ72*BK72*BL72,"")</f>
        <v/>
      </c>
      <c r="BN72" s="40">
        <f>IFERROR(BM72/(1+BM72),"")</f>
        <v/>
      </c>
      <c r="BO72" s="40">
        <f>IFERROR(IF(AC72&gt;=1,0.999,1-EXP(1-(1-AC72)^(-0.8))),"")</f>
        <v/>
      </c>
      <c r="BP72" s="40">
        <f>IFERROR(IF(AK72&gt;=1,0.999,1-EXP(1-(1-AK72)^(-0.75))),"")</f>
        <v/>
      </c>
      <c r="BQ72" s="40">
        <f>IFERROR(1-EXP(-AL72*(1+AL72)),"")</f>
        <v/>
      </c>
      <c r="BR72" s="40">
        <f>IFERROR(BQ72^(1-AO72)*AP72*(4*AQ72*(1-AQ72))*AR72^1.15,"")</f>
        <v/>
      </c>
      <c r="BS72" s="40">
        <f>IFERROR(IF(BR72^(1/3)&gt;=1,0.999,1-EXP(1-(1-BR72^(1/3))^(-0.7))),"")</f>
        <v/>
      </c>
      <c r="BT72" s="40">
        <f>1</f>
        <v/>
      </c>
      <c r="BU72" s="40">
        <f>IFERROR(EXP((BO72-0.372)/(0.372*(1-0.372))),"")</f>
        <v/>
      </c>
      <c r="BV72" s="40">
        <f>IFERROR(EXP((BP72-0.415)/(0.415*(1-0.415))),"")</f>
        <v/>
      </c>
      <c r="BW72" s="40">
        <f>IFERROR(EXP((BS72-0.405)/(0.405*(1-0.405))),"")</f>
        <v/>
      </c>
      <c r="BX72" s="40">
        <f>IFERROR(BT72*BU72*BV72*BW72,"")</f>
        <v/>
      </c>
      <c r="BY72" s="40">
        <f>IFERROR(BX72/(1+BX72),"")</f>
        <v/>
      </c>
      <c r="BZ72" s="40">
        <f>IFERROR(EXP(0.15*(SQRT(BH72)-0.5)/(0.5*0.5)),"")</f>
        <v/>
      </c>
      <c r="CA72" s="40">
        <f>IFERROR(IF(BY72&gt;=1,1E9,BY72/(1-BY72)*BZ72),"")</f>
        <v/>
      </c>
      <c r="CB72" s="40">
        <f>IFERROR(CA72/(1+CA72),"")</f>
        <v/>
      </c>
      <c r="CC72" s="42">
        <f>BH72</f>
        <v/>
      </c>
      <c r="CD72" s="42">
        <f>BN72</f>
        <v/>
      </c>
      <c r="CE72" s="42">
        <f>CB72</f>
        <v/>
      </c>
      <c r="CF72" s="43" t="inlineStr">
        <is>
          <t>Overwhelming scientific consensus. Contested but not very heavily in receiver context.</t>
        </is>
      </c>
    </row>
    <row r="73" ht="40" customHeight="1">
      <c r="A73" s="50" t="n">
        <v>71</v>
      </c>
      <c r="B73" s="51" t="inlineStr">
        <is>
          <t>Morocco banned single-use plastic bags years ago — enforcement has been uneven but coastal pollution has measurably declined.</t>
        </is>
      </c>
      <c r="C73" s="50" t="inlineStr">
        <is>
          <t>Science</t>
        </is>
      </c>
      <c r="D73" s="39" t="n">
        <v>0.82</v>
      </c>
      <c r="E73" s="39" t="n">
        <v>0.82</v>
      </c>
      <c r="F73" s="39" t="n">
        <v>0.75</v>
      </c>
      <c r="G73" s="39" t="n">
        <v>0.8</v>
      </c>
      <c r="H73" s="40">
        <f>IFERROR(AVERAGE(D73,E73,F73,G73),"")</f>
        <v/>
      </c>
      <c r="I73" s="39" t="n">
        <v>0.72</v>
      </c>
      <c r="J73" s="39" t="n">
        <v>0.68</v>
      </c>
      <c r="K73" s="39" t="n">
        <v>0.68</v>
      </c>
      <c r="L73" s="39" t="n">
        <v>0.65</v>
      </c>
      <c r="M73" s="40">
        <f>IFERROR(AVERAGE(I73,J73,K73,L73),"")</f>
        <v/>
      </c>
      <c r="N73" s="39" t="n">
        <v>0.6</v>
      </c>
      <c r="O73" s="39" t="n">
        <v>0.72</v>
      </c>
      <c r="P73" s="40">
        <f>IFERROR(IF(H73=0,0,H73^(H73^(-0.5)))*SQRT(M73)*((4*N73+O73)/5),"")</f>
        <v/>
      </c>
      <c r="Q73" s="39" t="n">
        <v>0.42</v>
      </c>
      <c r="R73" s="39" t="n">
        <v>0.88</v>
      </c>
      <c r="S73" s="39" t="n">
        <v>0.85</v>
      </c>
      <c r="T73" s="39" t="n">
        <v>0.78</v>
      </c>
      <c r="U73" s="40">
        <f>IFERROR(((Q73^1.4+T73)/2)*R73*(1-EXP(-4.605*S73)),"")</f>
        <v/>
      </c>
      <c r="V73" s="39" t="n">
        <v>0.62</v>
      </c>
      <c r="W73" s="39" t="n">
        <v>0.68</v>
      </c>
      <c r="X73" s="39" t="n">
        <v>0.6</v>
      </c>
      <c r="Y73" s="39" t="n">
        <v>0.68</v>
      </c>
      <c r="Z73" s="39" t="n">
        <v>0.52</v>
      </c>
      <c r="AA73" s="39" t="n">
        <v>0.68</v>
      </c>
      <c r="AB73" s="40">
        <f>IFERROR(Z73*(Y73*AA73^1.1)^1.1*((3*V73+2*W73+X73)/6)^0.5,"")</f>
        <v/>
      </c>
      <c r="AC73" s="40">
        <f>IFERROR(SQRT(AB73),"")</f>
        <v/>
      </c>
      <c r="AD73" s="39" t="n">
        <v>0.62</v>
      </c>
      <c r="AE73" s="39" t="n">
        <v>0.45</v>
      </c>
      <c r="AF73" s="40">
        <f>IFERROR(AE73*(1-AE73*H73),"")</f>
        <v/>
      </c>
      <c r="AG73" s="39" t="n">
        <v>0.6</v>
      </c>
      <c r="AH73" s="39" t="n">
        <v>0.78</v>
      </c>
      <c r="AI73" s="39" t="n">
        <v>0.68</v>
      </c>
      <c r="AJ73" s="40">
        <f>IFERROR(AH73^2.1*AG73^0.2*(2*AF73+3*AI73+AD73)/6,"")</f>
        <v/>
      </c>
      <c r="AK73" s="40">
        <f>IFERROR(SQRT(AJ73),"")</f>
        <v/>
      </c>
      <c r="AL73" s="39" t="n">
        <v>0.5</v>
      </c>
      <c r="AM73" s="40">
        <f>IFERROR(1-EXP(-AL73),"")</f>
        <v/>
      </c>
      <c r="AN73" s="40">
        <f>IFERROR(4.18*AM73^0.7*(1-AM73)^1.5,"")</f>
        <v/>
      </c>
      <c r="AO73" s="39" t="n">
        <v>0.55</v>
      </c>
      <c r="AP73" s="39" t="n">
        <v>0.48</v>
      </c>
      <c r="AQ73" s="39" t="n">
        <v>0.55</v>
      </c>
      <c r="AR73" s="39" t="n">
        <v>0.7</v>
      </c>
      <c r="AS73" s="40">
        <f>IFERROR(AN73^(1-AO73)*AP73*(4*AQ73*(1-AQ73))*AR73^1.15,"")</f>
        <v/>
      </c>
      <c r="AT73" s="40">
        <f>IFERROR(AS73^(1/3),"")</f>
        <v/>
      </c>
      <c r="AU73" s="39" t="n">
        <v>1.8</v>
      </c>
      <c r="AV73" s="39" t="n">
        <v>2</v>
      </c>
      <c r="AW73" s="40">
        <f>IFERROR(IF(AV73&lt;=1,AU73,AU73*(1+(AV73-1)*0.6)),"")</f>
        <v/>
      </c>
      <c r="AX73" s="39" t="n">
        <v>0.82</v>
      </c>
      <c r="AY73" s="39" t="n">
        <v>0.45</v>
      </c>
      <c r="AZ73" s="41" t="n">
        <v>0.5</v>
      </c>
      <c r="BA73" s="40">
        <f>IFERROR(AZ73/(1-AZ73),"")</f>
        <v/>
      </c>
      <c r="BB73" s="40">
        <f>IFERROR(EXP((P73-0.301)/(0.301*(1-0.301))),"")</f>
        <v/>
      </c>
      <c r="BC73" s="40">
        <f>IFERROR(EXP((U73-0.354)/(0.354*(1-0.354))),"")</f>
        <v/>
      </c>
      <c r="BD73" s="40">
        <f>IFERROR(AW73,"")</f>
        <v/>
      </c>
      <c r="BE73" s="40">
        <f>IFERROR(EXP((AX73-0.75)/(0.75*(1-0.75))),"")</f>
        <v/>
      </c>
      <c r="BF73" s="40">
        <f>IFERROR(EXP((AY73-0.5)/(0.5*(1-0.5))),"")</f>
        <v/>
      </c>
      <c r="BG73" s="40">
        <f>IFERROR(BA73*BB73*BC73*BD73*BE73*BF73,"")</f>
        <v/>
      </c>
      <c r="BH73" s="40">
        <f>IFERROR(BG73/(1+BG73),"")</f>
        <v/>
      </c>
      <c r="BI73" s="40">
        <f>IFERROR(IF(BH73&gt;=1,1E9,BH73/(1-BH73)),"")</f>
        <v/>
      </c>
      <c r="BJ73" s="40">
        <f>IFERROR(EXP((AC73-0.372)/(0.372*(1-0.372))),"")</f>
        <v/>
      </c>
      <c r="BK73" s="40">
        <f>IFERROR(EXP((AK73-0.415)/(0.415*(1-0.415))),"")</f>
        <v/>
      </c>
      <c r="BL73" s="40">
        <f>IFERROR(EXP((AT73-0.405)/(0.405*(1-0.405))),"")</f>
        <v/>
      </c>
      <c r="BM73" s="40">
        <f>IFERROR(BI73*BJ73*BK73*BL73,"")</f>
        <v/>
      </c>
      <c r="BN73" s="40">
        <f>IFERROR(BM73/(1+BM73),"")</f>
        <v/>
      </c>
      <c r="BO73" s="40">
        <f>IFERROR(IF(AC73&gt;=1,0.999,1-EXP(1-(1-AC73)^(-0.8))),"")</f>
        <v/>
      </c>
      <c r="BP73" s="40">
        <f>IFERROR(IF(AK73&gt;=1,0.999,1-EXP(1-(1-AK73)^(-0.75))),"")</f>
        <v/>
      </c>
      <c r="BQ73" s="40">
        <f>IFERROR(1-EXP(-AL73*(1+AL73)),"")</f>
        <v/>
      </c>
      <c r="BR73" s="40">
        <f>IFERROR(BQ73^(1-AO73)*AP73*(4*AQ73*(1-AQ73))*AR73^1.15,"")</f>
        <v/>
      </c>
      <c r="BS73" s="40">
        <f>IFERROR(IF(BR73^(1/3)&gt;=1,0.999,1-EXP(1-(1-BR73^(1/3))^(-0.7))),"")</f>
        <v/>
      </c>
      <c r="BT73" s="40">
        <f>1</f>
        <v/>
      </c>
      <c r="BU73" s="40">
        <f>IFERROR(EXP((BO73-0.372)/(0.372*(1-0.372))),"")</f>
        <v/>
      </c>
      <c r="BV73" s="40">
        <f>IFERROR(EXP((BP73-0.415)/(0.415*(1-0.415))),"")</f>
        <v/>
      </c>
      <c r="BW73" s="40">
        <f>IFERROR(EXP((BS73-0.405)/(0.405*(1-0.405))),"")</f>
        <v/>
      </c>
      <c r="BX73" s="40">
        <f>IFERROR(BT73*BU73*BV73*BW73,"")</f>
        <v/>
      </c>
      <c r="BY73" s="40">
        <f>IFERROR(BX73/(1+BX73),"")</f>
        <v/>
      </c>
      <c r="BZ73" s="40">
        <f>IFERROR(EXP(0.15*(SQRT(BH73)-0.5)/(0.5*0.5)),"")</f>
        <v/>
      </c>
      <c r="CA73" s="40">
        <f>IFERROR(IF(BY73&gt;=1,1E9,BY73/(1-BY73)*BZ73),"")</f>
        <v/>
      </c>
      <c r="CB73" s="40">
        <f>IFERROR(CA73/(1+CA73),"")</f>
        <v/>
      </c>
      <c r="CC73" s="42">
        <f>BH73</f>
        <v/>
      </c>
      <c r="CD73" s="42">
        <f>BN73</f>
        <v/>
      </c>
      <c r="CE73" s="42">
        <f>CB73</f>
        <v/>
      </c>
      <c r="CF73" s="43" t="inlineStr">
        <is>
          <t>True. Mixed enforcement reality accurately described.</t>
        </is>
      </c>
    </row>
    <row r="74" ht="40" customHeight="1">
      <c r="A74" s="50" t="n">
        <v>72</v>
      </c>
      <c r="B74" s="51" t="inlineStr">
        <is>
          <t>Eating vegetables irrigated with treated wastewater causes cancer.</t>
        </is>
      </c>
      <c r="C74" s="50" t="inlineStr">
        <is>
          <t>Science</t>
        </is>
      </c>
      <c r="D74" s="39" t="n">
        <v>0.78</v>
      </c>
      <c r="E74" s="39" t="n">
        <v>0.78</v>
      </c>
      <c r="F74" s="39" t="n">
        <v>0.78</v>
      </c>
      <c r="G74" s="39" t="n">
        <v>0.78</v>
      </c>
      <c r="H74" s="40">
        <f>IFERROR(AVERAGE(D74,E74,F74,G74),"")</f>
        <v/>
      </c>
      <c r="I74" s="39" t="n">
        <v>0.18</v>
      </c>
      <c r="J74" s="39" t="n">
        <v>0.15</v>
      </c>
      <c r="K74" s="39" t="n">
        <v>0.12</v>
      </c>
      <c r="L74" s="39" t="n">
        <v>0.15</v>
      </c>
      <c r="M74" s="40">
        <f>IFERROR(AVERAGE(I74,J74,K74,L74),"")</f>
        <v/>
      </c>
      <c r="N74" s="39" t="n">
        <v>0.28</v>
      </c>
      <c r="O74" s="39" t="n">
        <v>0.58</v>
      </c>
      <c r="P74" s="40">
        <f>IFERROR(IF(H74=0,0,H74^(H74^(-0.5)))*SQRT(M74)*((4*N74+O74)/5),"")</f>
        <v/>
      </c>
      <c r="Q74" s="39" t="n">
        <v>0.45</v>
      </c>
      <c r="R74" s="39" t="n">
        <v>0.65</v>
      </c>
      <c r="S74" s="39" t="n">
        <v>0.75</v>
      </c>
      <c r="T74" s="39" t="n">
        <v>0.62</v>
      </c>
      <c r="U74" s="40">
        <f>IFERROR(((Q74^1.4+T74)/2)*R74*(1-EXP(-4.605*S74)),"")</f>
        <v/>
      </c>
      <c r="V74" s="39" t="n">
        <v>0.55</v>
      </c>
      <c r="W74" s="39" t="n">
        <v>0.6</v>
      </c>
      <c r="X74" s="39" t="n">
        <v>0.6</v>
      </c>
      <c r="Y74" s="39" t="n">
        <v>0.58</v>
      </c>
      <c r="Z74" s="39" t="n">
        <v>0.38</v>
      </c>
      <c r="AA74" s="39" t="n">
        <v>0.65</v>
      </c>
      <c r="AB74" s="40">
        <f>IFERROR(Z74*(Y74*AA74^1.1)^1.1*((3*V74+2*W74+X74)/6)^0.5,"")</f>
        <v/>
      </c>
      <c r="AC74" s="40">
        <f>IFERROR(SQRT(AB74),"")</f>
        <v/>
      </c>
      <c r="AD74" s="39" t="n">
        <v>0.55</v>
      </c>
      <c r="AE74" s="39" t="n">
        <v>0.2</v>
      </c>
      <c r="AF74" s="40">
        <f>IFERROR(AE74*(1-AE74*H74),"")</f>
        <v/>
      </c>
      <c r="AG74" s="39" t="n">
        <v>0.52</v>
      </c>
      <c r="AH74" s="39" t="n">
        <v>0.52</v>
      </c>
      <c r="AI74" s="39" t="n">
        <v>0.6</v>
      </c>
      <c r="AJ74" s="40">
        <f>IFERROR(AH74^2.1*AG74^0.2*(2*AF74+3*AI74+AD74)/6,"")</f>
        <v/>
      </c>
      <c r="AK74" s="40">
        <f>IFERROR(SQRT(AJ74),"")</f>
        <v/>
      </c>
      <c r="AL74" s="39" t="n">
        <v>0.65</v>
      </c>
      <c r="AM74" s="40">
        <f>IFERROR(1-EXP(-AL74),"")</f>
        <v/>
      </c>
      <c r="AN74" s="40">
        <f>IFERROR(4.18*AM74^0.7*(1-AM74)^1.5,"")</f>
        <v/>
      </c>
      <c r="AO74" s="39" t="n">
        <v>0.5</v>
      </c>
      <c r="AP74" s="39" t="n">
        <v>0.42</v>
      </c>
      <c r="AQ74" s="39" t="n">
        <v>0.52</v>
      </c>
      <c r="AR74" s="39" t="n">
        <v>0.68</v>
      </c>
      <c r="AS74" s="40">
        <f>IFERROR(AN74^(1-AO74)*AP74*(4*AQ74*(1-AQ74))*AR74^1.15,"")</f>
        <v/>
      </c>
      <c r="AT74" s="40">
        <f>IFERROR(AS74^(1/3),"")</f>
        <v/>
      </c>
      <c r="AU74" s="39" t="n">
        <v>1</v>
      </c>
      <c r="AV74" s="39" t="n">
        <v>1</v>
      </c>
      <c r="AW74" s="40">
        <f>IFERROR(IF(AV74&lt;=1,AU74,AU74*(1+(AV74-1)*0.6)),"")</f>
        <v/>
      </c>
      <c r="AX74" s="39" t="n">
        <v>0.22</v>
      </c>
      <c r="AY74" s="39" t="n">
        <v>0.08</v>
      </c>
      <c r="AZ74" s="41" t="n">
        <v>0.5</v>
      </c>
      <c r="BA74" s="40">
        <f>IFERROR(AZ74/(1-AZ74),"")</f>
        <v/>
      </c>
      <c r="BB74" s="40">
        <f>IFERROR(EXP((P74-0.301)/(0.301*(1-0.301))),"")</f>
        <v/>
      </c>
      <c r="BC74" s="40">
        <f>IFERROR(EXP((U74-0.354)/(0.354*(1-0.354))),"")</f>
        <v/>
      </c>
      <c r="BD74" s="40">
        <f>IFERROR(AW74,"")</f>
        <v/>
      </c>
      <c r="BE74" s="40">
        <f>IFERROR(EXP((AX74-0.75)/(0.75*(1-0.75))),"")</f>
        <v/>
      </c>
      <c r="BF74" s="40">
        <f>IFERROR(EXP((AY74-0.5)/(0.5*(1-0.5))),"")</f>
        <v/>
      </c>
      <c r="BG74" s="40">
        <f>IFERROR(BA74*BB74*BC74*BD74*BE74*BF74,"")</f>
        <v/>
      </c>
      <c r="BH74" s="40">
        <f>IFERROR(BG74/(1+BG74),"")</f>
        <v/>
      </c>
      <c r="BI74" s="40">
        <f>IFERROR(IF(BH74&gt;=1,1E9,BH74/(1-BH74)),"")</f>
        <v/>
      </c>
      <c r="BJ74" s="40">
        <f>IFERROR(EXP((AC74-0.372)/(0.372*(1-0.372))),"")</f>
        <v/>
      </c>
      <c r="BK74" s="40">
        <f>IFERROR(EXP((AK74-0.415)/(0.415*(1-0.415))),"")</f>
        <v/>
      </c>
      <c r="BL74" s="40">
        <f>IFERROR(EXP((AT74-0.405)/(0.405*(1-0.405))),"")</f>
        <v/>
      </c>
      <c r="BM74" s="40">
        <f>IFERROR(BI74*BJ74*BK74*BL74,"")</f>
        <v/>
      </c>
      <c r="BN74" s="40">
        <f>IFERROR(BM74/(1+BM74),"")</f>
        <v/>
      </c>
      <c r="BO74" s="40">
        <f>IFERROR(IF(AC74&gt;=1,0.999,1-EXP(1-(1-AC74)^(-0.8))),"")</f>
        <v/>
      </c>
      <c r="BP74" s="40">
        <f>IFERROR(IF(AK74&gt;=1,0.999,1-EXP(1-(1-AK74)^(-0.75))),"")</f>
        <v/>
      </c>
      <c r="BQ74" s="40">
        <f>IFERROR(1-EXP(-AL74*(1+AL74)),"")</f>
        <v/>
      </c>
      <c r="BR74" s="40">
        <f>IFERROR(BQ74^(1-AO74)*AP74*(4*AQ74*(1-AQ74))*AR74^1.15,"")</f>
        <v/>
      </c>
      <c r="BS74" s="40">
        <f>IFERROR(IF(BR74^(1/3)&gt;=1,0.999,1-EXP(1-(1-BR74^(1/3))^(-0.7))),"")</f>
        <v/>
      </c>
      <c r="BT74" s="40">
        <f>1</f>
        <v/>
      </c>
      <c r="BU74" s="40">
        <f>IFERROR(EXP((BO74-0.372)/(0.372*(1-0.372))),"")</f>
        <v/>
      </c>
      <c r="BV74" s="40">
        <f>IFERROR(EXP((BP74-0.415)/(0.415*(1-0.415))),"")</f>
        <v/>
      </c>
      <c r="BW74" s="40">
        <f>IFERROR(EXP((BS74-0.405)/(0.405*(1-0.405))),"")</f>
        <v/>
      </c>
      <c r="BX74" s="40">
        <f>IFERROR(BT74*BU74*BV74*BW74,"")</f>
        <v/>
      </c>
      <c r="BY74" s="40">
        <f>IFERROR(BX74/(1+BX74),"")</f>
        <v/>
      </c>
      <c r="BZ74" s="40">
        <f>IFERROR(EXP(0.15*(SQRT(BH74)-0.5)/(0.5*0.5)),"")</f>
        <v/>
      </c>
      <c r="CA74" s="40">
        <f>IFERROR(IF(BY74&gt;=1,1E9,BY74/(1-BY74)*BZ74),"")</f>
        <v/>
      </c>
      <c r="CB74" s="40">
        <f>IFERROR(CA74/(1+CA74),"")</f>
        <v/>
      </c>
      <c r="CC74" s="42">
        <f>BH74</f>
        <v/>
      </c>
      <c r="CD74" s="42">
        <f>BN74</f>
        <v/>
      </c>
      <c r="CE74" s="42">
        <f>CB74</f>
        <v/>
      </c>
      <c r="CF74" s="43" t="inlineStr">
        <is>
          <t>False. Low moderate belief. WhatsApp fear claim.</t>
        </is>
      </c>
    </row>
    <row r="75" ht="40" customHeight="1">
      <c r="A75" s="50" t="n">
        <v>73</v>
      </c>
      <c r="B75" s="51" t="inlineStr">
        <is>
          <t>Drinking tap water is safe in Morocco's major cities but unreliable in many rural areas.</t>
        </is>
      </c>
      <c r="C75" s="50" t="inlineStr">
        <is>
          <t>Science</t>
        </is>
      </c>
      <c r="D75" s="39" t="n">
        <v>0.82</v>
      </c>
      <c r="E75" s="39" t="n">
        <v>0.82</v>
      </c>
      <c r="F75" s="39" t="n">
        <v>0.75</v>
      </c>
      <c r="G75" s="39" t="n">
        <v>0.8</v>
      </c>
      <c r="H75" s="40">
        <f>IFERROR(AVERAGE(D75,E75,F75,G75),"")</f>
        <v/>
      </c>
      <c r="I75" s="39" t="n">
        <v>0.72</v>
      </c>
      <c r="J75" s="39" t="n">
        <v>0.68</v>
      </c>
      <c r="K75" s="39" t="n">
        <v>0.68</v>
      </c>
      <c r="L75" s="39" t="n">
        <v>0.65</v>
      </c>
      <c r="M75" s="40">
        <f>IFERROR(AVERAGE(I75,J75,K75,L75),"")</f>
        <v/>
      </c>
      <c r="N75" s="39" t="n">
        <v>0.62</v>
      </c>
      <c r="O75" s="39" t="n">
        <v>0.72</v>
      </c>
      <c r="P75" s="40">
        <f>IFERROR(IF(H75=0,0,H75^(H75^(-0.5)))*SQRT(M75)*((4*N75+O75)/5),"")</f>
        <v/>
      </c>
      <c r="Q75" s="39" t="n">
        <v>0.38</v>
      </c>
      <c r="R75" s="39" t="n">
        <v>0.88</v>
      </c>
      <c r="S75" s="39" t="n">
        <v>0.88</v>
      </c>
      <c r="T75" s="39" t="n">
        <v>0.8</v>
      </c>
      <c r="U75" s="40">
        <f>IFERROR(((Q75^1.4+T75)/2)*R75*(1-EXP(-4.605*S75)),"")</f>
        <v/>
      </c>
      <c r="V75" s="39" t="n">
        <v>0.62</v>
      </c>
      <c r="W75" s="39" t="n">
        <v>0.68</v>
      </c>
      <c r="X75" s="39" t="n">
        <v>0.6</v>
      </c>
      <c r="Y75" s="39" t="n">
        <v>0.68</v>
      </c>
      <c r="Z75" s="39" t="n">
        <v>0.52</v>
      </c>
      <c r="AA75" s="39" t="n">
        <v>0.68</v>
      </c>
      <c r="AB75" s="40">
        <f>IFERROR(Z75*(Y75*AA75^1.1)^1.1*((3*V75+2*W75+X75)/6)^0.5,"")</f>
        <v/>
      </c>
      <c r="AC75" s="40">
        <f>IFERROR(SQRT(AB75),"")</f>
        <v/>
      </c>
      <c r="AD75" s="39" t="n">
        <v>0.65</v>
      </c>
      <c r="AE75" s="39" t="n">
        <v>0.48</v>
      </c>
      <c r="AF75" s="40">
        <f>IFERROR(AE75*(1-AE75*H75),"")</f>
        <v/>
      </c>
      <c r="AG75" s="39" t="n">
        <v>0.62</v>
      </c>
      <c r="AH75" s="39" t="n">
        <v>0.78</v>
      </c>
      <c r="AI75" s="39" t="n">
        <v>0.7</v>
      </c>
      <c r="AJ75" s="40">
        <f>IFERROR(AH75^2.1*AG75^0.2*(2*AF75+3*AI75+AD75)/6,"")</f>
        <v/>
      </c>
      <c r="AK75" s="40">
        <f>IFERROR(SQRT(AJ75),"")</f>
        <v/>
      </c>
      <c r="AL75" s="39" t="n">
        <v>0.35</v>
      </c>
      <c r="AM75" s="40">
        <f>IFERROR(1-EXP(-AL75),"")</f>
        <v/>
      </c>
      <c r="AN75" s="40">
        <f>IFERROR(4.18*AM75^0.7*(1-AM75)^1.5,"")</f>
        <v/>
      </c>
      <c r="AO75" s="39" t="n">
        <v>0.58</v>
      </c>
      <c r="AP75" s="39" t="n">
        <v>0.5</v>
      </c>
      <c r="AQ75" s="39" t="n">
        <v>0.58</v>
      </c>
      <c r="AR75" s="39" t="n">
        <v>0.78</v>
      </c>
      <c r="AS75" s="40">
        <f>IFERROR(AN75^(1-AO75)*AP75*(4*AQ75*(1-AQ75))*AR75^1.15,"")</f>
        <v/>
      </c>
      <c r="AT75" s="40">
        <f>IFERROR(AS75^(1/3),"")</f>
        <v/>
      </c>
      <c r="AU75" s="39" t="n">
        <v>1.8</v>
      </c>
      <c r="AV75" s="39" t="n">
        <v>2</v>
      </c>
      <c r="AW75" s="40">
        <f>IFERROR(IF(AV75&lt;=1,AU75,AU75*(1+(AV75-1)*0.6)),"")</f>
        <v/>
      </c>
      <c r="AX75" s="39" t="n">
        <v>0.85</v>
      </c>
      <c r="AY75" s="39" t="n">
        <v>0.48</v>
      </c>
      <c r="AZ75" s="41" t="n">
        <v>0.5</v>
      </c>
      <c r="BA75" s="40">
        <f>IFERROR(AZ75/(1-AZ75),"")</f>
        <v/>
      </c>
      <c r="BB75" s="40">
        <f>IFERROR(EXP((P75-0.301)/(0.301*(1-0.301))),"")</f>
        <v/>
      </c>
      <c r="BC75" s="40">
        <f>IFERROR(EXP((U75-0.354)/(0.354*(1-0.354))),"")</f>
        <v/>
      </c>
      <c r="BD75" s="40">
        <f>IFERROR(AW75,"")</f>
        <v/>
      </c>
      <c r="BE75" s="40">
        <f>IFERROR(EXP((AX75-0.75)/(0.75*(1-0.75))),"")</f>
        <v/>
      </c>
      <c r="BF75" s="40">
        <f>IFERROR(EXP((AY75-0.5)/(0.5*(1-0.5))),"")</f>
        <v/>
      </c>
      <c r="BG75" s="40">
        <f>IFERROR(BA75*BB75*BC75*BD75*BE75*BF75,"")</f>
        <v/>
      </c>
      <c r="BH75" s="40">
        <f>IFERROR(BG75/(1+BG75),"")</f>
        <v/>
      </c>
      <c r="BI75" s="40">
        <f>IFERROR(IF(BH75&gt;=1,1E9,BH75/(1-BH75)),"")</f>
        <v/>
      </c>
      <c r="BJ75" s="40">
        <f>IFERROR(EXP((AC75-0.372)/(0.372*(1-0.372))),"")</f>
        <v/>
      </c>
      <c r="BK75" s="40">
        <f>IFERROR(EXP((AK75-0.415)/(0.415*(1-0.415))),"")</f>
        <v/>
      </c>
      <c r="BL75" s="40">
        <f>IFERROR(EXP((AT75-0.405)/(0.405*(1-0.405))),"")</f>
        <v/>
      </c>
      <c r="BM75" s="40">
        <f>IFERROR(BI75*BJ75*BK75*BL75,"")</f>
        <v/>
      </c>
      <c r="BN75" s="40">
        <f>IFERROR(BM75/(1+BM75),"")</f>
        <v/>
      </c>
      <c r="BO75" s="40">
        <f>IFERROR(IF(AC75&gt;=1,0.999,1-EXP(1-(1-AC75)^(-0.8))),"")</f>
        <v/>
      </c>
      <c r="BP75" s="40">
        <f>IFERROR(IF(AK75&gt;=1,0.999,1-EXP(1-(1-AK75)^(-0.75))),"")</f>
        <v/>
      </c>
      <c r="BQ75" s="40">
        <f>IFERROR(1-EXP(-AL75*(1+AL75)),"")</f>
        <v/>
      </c>
      <c r="BR75" s="40">
        <f>IFERROR(BQ75^(1-AO75)*AP75*(4*AQ75*(1-AQ75))*AR75^1.15,"")</f>
        <v/>
      </c>
      <c r="BS75" s="40">
        <f>IFERROR(IF(BR75^(1/3)&gt;=1,0.999,1-EXP(1-(1-BR75^(1/3))^(-0.7))),"")</f>
        <v/>
      </c>
      <c r="BT75" s="40">
        <f>1</f>
        <v/>
      </c>
      <c r="BU75" s="40">
        <f>IFERROR(EXP((BO75-0.372)/(0.372*(1-0.372))),"")</f>
        <v/>
      </c>
      <c r="BV75" s="40">
        <f>IFERROR(EXP((BP75-0.415)/(0.415*(1-0.415))),"")</f>
        <v/>
      </c>
      <c r="BW75" s="40">
        <f>IFERROR(EXP((BS75-0.405)/(0.405*(1-0.405))),"")</f>
        <v/>
      </c>
      <c r="BX75" s="40">
        <f>IFERROR(BT75*BU75*BV75*BW75,"")</f>
        <v/>
      </c>
      <c r="BY75" s="40">
        <f>IFERROR(BX75/(1+BX75),"")</f>
        <v/>
      </c>
      <c r="BZ75" s="40">
        <f>IFERROR(EXP(0.15*(SQRT(BH75)-0.5)/(0.5*0.5)),"")</f>
        <v/>
      </c>
      <c r="CA75" s="40">
        <f>IFERROR(IF(BY75&gt;=1,1E9,BY75/(1-BY75)*BZ75),"")</f>
        <v/>
      </c>
      <c r="CB75" s="40">
        <f>IFERROR(CA75/(1+CA75),"")</f>
        <v/>
      </c>
      <c r="CC75" s="42">
        <f>BH75</f>
        <v/>
      </c>
      <c r="CD75" s="42">
        <f>BN75</f>
        <v/>
      </c>
      <c r="CE75" s="42">
        <f>CB75</f>
        <v/>
      </c>
      <c r="CF75" s="43" t="inlineStr">
        <is>
          <t>True nuanced claim. Currently Fes has cuts so salient right now.</t>
        </is>
      </c>
    </row>
    <row r="76" ht="40" customHeight="1">
      <c r="A76" s="50" t="n">
        <v>74</v>
      </c>
      <c r="B76" s="51" t="inlineStr">
        <is>
          <t>Plastic pollution in Moroccan rivers will make urban tap water unsafe to drink within the coming years.</t>
        </is>
      </c>
      <c r="C76" s="50" t="inlineStr">
        <is>
          <t>Science</t>
        </is>
      </c>
      <c r="D76" s="39" t="n">
        <v>0.75</v>
      </c>
      <c r="E76" s="39" t="n">
        <v>0.75</v>
      </c>
      <c r="F76" s="39" t="n">
        <v>0.72</v>
      </c>
      <c r="G76" s="39" t="n">
        <v>0.75</v>
      </c>
      <c r="H76" s="40">
        <f>IFERROR(AVERAGE(D76,E76,F76,G76),"")</f>
        <v/>
      </c>
      <c r="I76" s="39" t="n">
        <v>0.48</v>
      </c>
      <c r="J76" s="39" t="n">
        <v>0.42</v>
      </c>
      <c r="K76" s="39" t="n">
        <v>0.4</v>
      </c>
      <c r="L76" s="39" t="n">
        <v>0.38</v>
      </c>
      <c r="M76" s="40">
        <f>IFERROR(AVERAGE(I76,J76,K76,L76),"")</f>
        <v/>
      </c>
      <c r="N76" s="39" t="n">
        <v>0.42</v>
      </c>
      <c r="O76" s="39" t="n">
        <v>0.6</v>
      </c>
      <c r="P76" s="40">
        <f>IFERROR(IF(H76=0,0,H76^(H76^(-0.5)))*SQRT(M76)*((4*N76+O76)/5),"")</f>
        <v/>
      </c>
      <c r="Q76" s="39" t="n">
        <v>0.55</v>
      </c>
      <c r="R76" s="39" t="n">
        <v>0.68</v>
      </c>
      <c r="S76" s="39" t="n">
        <v>0.55</v>
      </c>
      <c r="T76" s="39" t="n">
        <v>0.65</v>
      </c>
      <c r="U76" s="40">
        <f>IFERROR(((Q76^1.4+T76)/2)*R76*(1-EXP(-4.605*S76)),"")</f>
        <v/>
      </c>
      <c r="V76" s="39" t="n">
        <v>0.55</v>
      </c>
      <c r="W76" s="39" t="n">
        <v>0.6</v>
      </c>
      <c r="X76" s="39" t="n">
        <v>0.6</v>
      </c>
      <c r="Y76" s="39" t="n">
        <v>0.6</v>
      </c>
      <c r="Z76" s="39" t="n">
        <v>0.4</v>
      </c>
      <c r="AA76" s="39" t="n">
        <v>0.65</v>
      </c>
      <c r="AB76" s="40">
        <f>IFERROR(Z76*(Y76*AA76^1.1)^1.1*((3*V76+2*W76+X76)/6)^0.5,"")</f>
        <v/>
      </c>
      <c r="AC76" s="40">
        <f>IFERROR(SQRT(AB76),"")</f>
        <v/>
      </c>
      <c r="AD76" s="39" t="n">
        <v>0.58</v>
      </c>
      <c r="AE76" s="39" t="n">
        <v>0.35</v>
      </c>
      <c r="AF76" s="40">
        <f>IFERROR(AE76*(1-AE76*H76),"")</f>
        <v/>
      </c>
      <c r="AG76" s="39" t="n">
        <v>0.55</v>
      </c>
      <c r="AH76" s="39" t="n">
        <v>0.55</v>
      </c>
      <c r="AI76" s="39" t="n">
        <v>0.65</v>
      </c>
      <c r="AJ76" s="40">
        <f>IFERROR(AH76^2.1*AG76^0.2*(2*AF76+3*AI76+AD76)/6,"")</f>
        <v/>
      </c>
      <c r="AK76" s="40">
        <f>IFERROR(SQRT(AJ76),"")</f>
        <v/>
      </c>
      <c r="AL76" s="39" t="n">
        <v>0.85</v>
      </c>
      <c r="AM76" s="40">
        <f>IFERROR(1-EXP(-AL76),"")</f>
        <v/>
      </c>
      <c r="AN76" s="40">
        <f>IFERROR(4.18*AM76^0.7*(1-AM76)^1.5,"")</f>
        <v/>
      </c>
      <c r="AO76" s="39" t="n">
        <v>0.52</v>
      </c>
      <c r="AP76" s="39" t="n">
        <v>0.45</v>
      </c>
      <c r="AQ76" s="39" t="n">
        <v>0.55</v>
      </c>
      <c r="AR76" s="39" t="n">
        <v>0.68</v>
      </c>
      <c r="AS76" s="40">
        <f>IFERROR(AN76^(1-AO76)*AP76*(4*AQ76*(1-AQ76))*AR76^1.15,"")</f>
        <v/>
      </c>
      <c r="AT76" s="40">
        <f>IFERROR(AS76^(1/3),"")</f>
        <v/>
      </c>
      <c r="AU76" s="39" t="n">
        <v>1.1</v>
      </c>
      <c r="AV76" s="39" t="n">
        <v>1</v>
      </c>
      <c r="AW76" s="40">
        <f>IFERROR(IF(AV76&lt;=1,AU76,AU76*(1+(AV76-1)*0.6)),"")</f>
        <v/>
      </c>
      <c r="AX76" s="39" t="n">
        <v>0.42</v>
      </c>
      <c r="AY76" s="39" t="n">
        <v>0.18</v>
      </c>
      <c r="AZ76" s="41" t="n">
        <v>0.5</v>
      </c>
      <c r="BA76" s="40">
        <f>IFERROR(AZ76/(1-AZ76),"")</f>
        <v/>
      </c>
      <c r="BB76" s="40">
        <f>IFERROR(EXP((P76-0.301)/(0.301*(1-0.301))),"")</f>
        <v/>
      </c>
      <c r="BC76" s="40">
        <f>IFERROR(EXP((U76-0.354)/(0.354*(1-0.354))),"")</f>
        <v/>
      </c>
      <c r="BD76" s="40">
        <f>IFERROR(AW76,"")</f>
        <v/>
      </c>
      <c r="BE76" s="40">
        <f>IFERROR(EXP((AX76-0.75)/(0.75*(1-0.75))),"")</f>
        <v/>
      </c>
      <c r="BF76" s="40">
        <f>IFERROR(EXP((AY76-0.5)/(0.5*(1-0.5))),"")</f>
        <v/>
      </c>
      <c r="BG76" s="40">
        <f>IFERROR(BA76*BB76*BC76*BD76*BE76*BF76,"")</f>
        <v/>
      </c>
      <c r="BH76" s="40">
        <f>IFERROR(BG76/(1+BG76),"")</f>
        <v/>
      </c>
      <c r="BI76" s="40">
        <f>IFERROR(IF(BH76&gt;=1,1E9,BH76/(1-BH76)),"")</f>
        <v/>
      </c>
      <c r="BJ76" s="40">
        <f>IFERROR(EXP((AC76-0.372)/(0.372*(1-0.372))),"")</f>
        <v/>
      </c>
      <c r="BK76" s="40">
        <f>IFERROR(EXP((AK76-0.415)/(0.415*(1-0.415))),"")</f>
        <v/>
      </c>
      <c r="BL76" s="40">
        <f>IFERROR(EXP((AT76-0.405)/(0.405*(1-0.405))),"")</f>
        <v/>
      </c>
      <c r="BM76" s="40">
        <f>IFERROR(BI76*BJ76*BK76*BL76,"")</f>
        <v/>
      </c>
      <c r="BN76" s="40">
        <f>IFERROR(BM76/(1+BM76),"")</f>
        <v/>
      </c>
      <c r="BO76" s="40">
        <f>IFERROR(IF(AC76&gt;=1,0.999,1-EXP(1-(1-AC76)^(-0.8))),"")</f>
        <v/>
      </c>
      <c r="BP76" s="40">
        <f>IFERROR(IF(AK76&gt;=1,0.999,1-EXP(1-(1-AK76)^(-0.75))),"")</f>
        <v/>
      </c>
      <c r="BQ76" s="40">
        <f>IFERROR(1-EXP(-AL76*(1+AL76)),"")</f>
        <v/>
      </c>
      <c r="BR76" s="40">
        <f>IFERROR(BQ76^(1-AO76)*AP76*(4*AQ76*(1-AQ76))*AR76^1.15,"")</f>
        <v/>
      </c>
      <c r="BS76" s="40">
        <f>IFERROR(IF(BR76^(1/3)&gt;=1,0.999,1-EXP(1-(1-BR76^(1/3))^(-0.7))),"")</f>
        <v/>
      </c>
      <c r="BT76" s="40">
        <f>1</f>
        <v/>
      </c>
      <c r="BU76" s="40">
        <f>IFERROR(EXP((BO76-0.372)/(0.372*(1-0.372))),"")</f>
        <v/>
      </c>
      <c r="BV76" s="40">
        <f>IFERROR(EXP((BP76-0.415)/(0.415*(1-0.415))),"")</f>
        <v/>
      </c>
      <c r="BW76" s="40">
        <f>IFERROR(EXP((BS76-0.405)/(0.405*(1-0.405))),"")</f>
        <v/>
      </c>
      <c r="BX76" s="40">
        <f>IFERROR(BT76*BU76*BV76*BW76,"")</f>
        <v/>
      </c>
      <c r="BY76" s="40">
        <f>IFERROR(BX76/(1+BX76),"")</f>
        <v/>
      </c>
      <c r="BZ76" s="40">
        <f>IFERROR(EXP(0.15*(SQRT(BH76)-0.5)/(0.5*0.5)),"")</f>
        <v/>
      </c>
      <c r="CA76" s="40">
        <f>IFERROR(IF(BY76&gt;=1,1E9,BY76/(1-BY76)*BZ76),"")</f>
        <v/>
      </c>
      <c r="CB76" s="40">
        <f>IFERROR(CA76/(1+CA76),"")</f>
        <v/>
      </c>
      <c r="CC76" s="42">
        <f>BH76</f>
        <v/>
      </c>
      <c r="CD76" s="42">
        <f>BN76</f>
        <v/>
      </c>
      <c r="CE76" s="42">
        <f>CB76</f>
        <v/>
      </c>
      <c r="CF76" s="43" t="inlineStr">
        <is>
          <t>Alarmist. H_f=0.55 (timescale vague). Low moderate risk assessment.</t>
        </is>
      </c>
    </row>
    <row r="77" ht="40" customHeight="1">
      <c r="A77" s="50" t="n">
        <v>75</v>
      </c>
      <c r="B77" s="51" t="inlineStr">
        <is>
          <t>Morocco is investing in desalination infrastructure to reduce dependence on rainfall for water supply.</t>
        </is>
      </c>
      <c r="C77" s="50" t="inlineStr">
        <is>
          <t>Science</t>
        </is>
      </c>
      <c r="D77" s="39" t="n">
        <v>0.8</v>
      </c>
      <c r="E77" s="39" t="n">
        <v>0.8</v>
      </c>
      <c r="F77" s="39" t="n">
        <v>0.72</v>
      </c>
      <c r="G77" s="39" t="n">
        <v>0.78</v>
      </c>
      <c r="H77" s="40">
        <f>IFERROR(AVERAGE(D77,E77,F77,G77),"")</f>
        <v/>
      </c>
      <c r="I77" s="39" t="n">
        <v>0.72</v>
      </c>
      <c r="J77" s="39" t="n">
        <v>0.68</v>
      </c>
      <c r="K77" s="39" t="n">
        <v>0.68</v>
      </c>
      <c r="L77" s="39" t="n">
        <v>0.65</v>
      </c>
      <c r="M77" s="40">
        <f>IFERROR(AVERAGE(I77,J77,K77,L77),"")</f>
        <v/>
      </c>
      <c r="N77" s="39" t="n">
        <v>0.62</v>
      </c>
      <c r="O77" s="39" t="n">
        <v>0.72</v>
      </c>
      <c r="P77" s="40">
        <f>IFERROR(IF(H77=0,0,H77^(H77^(-0.5)))*SQRT(M77)*((4*N77+O77)/5),"")</f>
        <v/>
      </c>
      <c r="Q77" s="39" t="n">
        <v>0.4</v>
      </c>
      <c r="R77" s="39" t="n">
        <v>0.88</v>
      </c>
      <c r="S77" s="39" t="n">
        <v>0.88</v>
      </c>
      <c r="T77" s="39" t="n">
        <v>0.78</v>
      </c>
      <c r="U77" s="40">
        <f>IFERROR(((Q77^1.4+T77)/2)*R77*(1-EXP(-4.605*S77)),"")</f>
        <v/>
      </c>
      <c r="V77" s="39" t="n">
        <v>0.62</v>
      </c>
      <c r="W77" s="39" t="n">
        <v>0.68</v>
      </c>
      <c r="X77" s="39" t="n">
        <v>0.6</v>
      </c>
      <c r="Y77" s="39" t="n">
        <v>0.68</v>
      </c>
      <c r="Z77" s="39" t="n">
        <v>0.52</v>
      </c>
      <c r="AA77" s="39" t="n">
        <v>0.68</v>
      </c>
      <c r="AB77" s="40">
        <f>IFERROR(Z77*(Y77*AA77^1.1)^1.1*((3*V77+2*W77+X77)/6)^0.5,"")</f>
        <v/>
      </c>
      <c r="AC77" s="40">
        <f>IFERROR(SQRT(AB77),"")</f>
        <v/>
      </c>
      <c r="AD77" s="39" t="n">
        <v>0.62</v>
      </c>
      <c r="AE77" s="39" t="n">
        <v>0.45</v>
      </c>
      <c r="AF77" s="40">
        <f>IFERROR(AE77*(1-AE77*H77),"")</f>
        <v/>
      </c>
      <c r="AG77" s="39" t="n">
        <v>0.6</v>
      </c>
      <c r="AH77" s="39" t="n">
        <v>0.78</v>
      </c>
      <c r="AI77" s="39" t="n">
        <v>0.7</v>
      </c>
      <c r="AJ77" s="40">
        <f>IFERROR(AH77^2.1*AG77^0.2*(2*AF77+3*AI77+AD77)/6,"")</f>
        <v/>
      </c>
      <c r="AK77" s="40">
        <f>IFERROR(SQRT(AJ77),"")</f>
        <v/>
      </c>
      <c r="AL77" s="39" t="n">
        <v>0.55</v>
      </c>
      <c r="AM77" s="40">
        <f>IFERROR(1-EXP(-AL77),"")</f>
        <v/>
      </c>
      <c r="AN77" s="40">
        <f>IFERROR(4.18*AM77^0.7*(1-AM77)^1.5,"")</f>
        <v/>
      </c>
      <c r="AO77" s="39" t="n">
        <v>0.55</v>
      </c>
      <c r="AP77" s="39" t="n">
        <v>0.48</v>
      </c>
      <c r="AQ77" s="39" t="n">
        <v>0.55</v>
      </c>
      <c r="AR77" s="39" t="n">
        <v>0.68</v>
      </c>
      <c r="AS77" s="40">
        <f>IFERROR(AN77^(1-AO77)*AP77*(4*AQ77*(1-AQ77))*AR77^1.15,"")</f>
        <v/>
      </c>
      <c r="AT77" s="40">
        <f>IFERROR(AS77^(1/3),"")</f>
        <v/>
      </c>
      <c r="AU77" s="39" t="n">
        <v>1.8</v>
      </c>
      <c r="AV77" s="39" t="n">
        <v>2</v>
      </c>
      <c r="AW77" s="40">
        <f>IFERROR(IF(AV77&lt;=1,AU77,AU77*(1+(AV77-1)*0.6)),"")</f>
        <v/>
      </c>
      <c r="AX77" s="39" t="n">
        <v>0.88</v>
      </c>
      <c r="AY77" s="39" t="n">
        <v>0.45</v>
      </c>
      <c r="AZ77" s="41" t="n">
        <v>0.5</v>
      </c>
      <c r="BA77" s="40">
        <f>IFERROR(AZ77/(1-AZ77),"")</f>
        <v/>
      </c>
      <c r="BB77" s="40">
        <f>IFERROR(EXP((P77-0.301)/(0.301*(1-0.301))),"")</f>
        <v/>
      </c>
      <c r="BC77" s="40">
        <f>IFERROR(EXP((U77-0.354)/(0.354*(1-0.354))),"")</f>
        <v/>
      </c>
      <c r="BD77" s="40">
        <f>IFERROR(AW77,"")</f>
        <v/>
      </c>
      <c r="BE77" s="40">
        <f>IFERROR(EXP((AX77-0.75)/(0.75*(1-0.75))),"")</f>
        <v/>
      </c>
      <c r="BF77" s="40">
        <f>IFERROR(EXP((AY77-0.5)/(0.5*(1-0.5))),"")</f>
        <v/>
      </c>
      <c r="BG77" s="40">
        <f>IFERROR(BA77*BB77*BC77*BD77*BE77*BF77,"")</f>
        <v/>
      </c>
      <c r="BH77" s="40">
        <f>IFERROR(BG77/(1+BG77),"")</f>
        <v/>
      </c>
      <c r="BI77" s="40">
        <f>IFERROR(IF(BH77&gt;=1,1E9,BH77/(1-BH77)),"")</f>
        <v/>
      </c>
      <c r="BJ77" s="40">
        <f>IFERROR(EXP((AC77-0.372)/(0.372*(1-0.372))),"")</f>
        <v/>
      </c>
      <c r="BK77" s="40">
        <f>IFERROR(EXP((AK77-0.415)/(0.415*(1-0.415))),"")</f>
        <v/>
      </c>
      <c r="BL77" s="40">
        <f>IFERROR(EXP((AT77-0.405)/(0.405*(1-0.405))),"")</f>
        <v/>
      </c>
      <c r="BM77" s="40">
        <f>IFERROR(BI77*BJ77*BK77*BL77,"")</f>
        <v/>
      </c>
      <c r="BN77" s="40">
        <f>IFERROR(BM77/(1+BM77),"")</f>
        <v/>
      </c>
      <c r="BO77" s="40">
        <f>IFERROR(IF(AC77&gt;=1,0.999,1-EXP(1-(1-AC77)^(-0.8))),"")</f>
        <v/>
      </c>
      <c r="BP77" s="40">
        <f>IFERROR(IF(AK77&gt;=1,0.999,1-EXP(1-(1-AK77)^(-0.75))),"")</f>
        <v/>
      </c>
      <c r="BQ77" s="40">
        <f>IFERROR(1-EXP(-AL77*(1+AL77)),"")</f>
        <v/>
      </c>
      <c r="BR77" s="40">
        <f>IFERROR(BQ77^(1-AO77)*AP77*(4*AQ77*(1-AQ77))*AR77^1.15,"")</f>
        <v/>
      </c>
      <c r="BS77" s="40">
        <f>IFERROR(IF(BR77^(1/3)&gt;=1,0.999,1-EXP(1-(1-BR77^(1/3))^(-0.7))),"")</f>
        <v/>
      </c>
      <c r="BT77" s="40">
        <f>1</f>
        <v/>
      </c>
      <c r="BU77" s="40">
        <f>IFERROR(EXP((BO77-0.372)/(0.372*(1-0.372))),"")</f>
        <v/>
      </c>
      <c r="BV77" s="40">
        <f>IFERROR(EXP((BP77-0.415)/(0.415*(1-0.415))),"")</f>
        <v/>
      </c>
      <c r="BW77" s="40">
        <f>IFERROR(EXP((BS77-0.405)/(0.405*(1-0.405))),"")</f>
        <v/>
      </c>
      <c r="BX77" s="40">
        <f>IFERROR(BT77*BU77*BV77*BW77,"")</f>
        <v/>
      </c>
      <c r="BY77" s="40">
        <f>IFERROR(BX77/(1+BX77),"")</f>
        <v/>
      </c>
      <c r="BZ77" s="40">
        <f>IFERROR(EXP(0.15*(SQRT(BH77)-0.5)/(0.5*0.5)),"")</f>
        <v/>
      </c>
      <c r="CA77" s="40">
        <f>IFERROR(IF(BY77&gt;=1,1E9,BY77/(1-BY77)*BZ77),"")</f>
        <v/>
      </c>
      <c r="CB77" s="40">
        <f>IFERROR(CA77/(1+CA77),"")</f>
        <v/>
      </c>
      <c r="CC77" s="42">
        <f>BH77</f>
        <v/>
      </c>
      <c r="CD77" s="42">
        <f>BN77</f>
        <v/>
      </c>
      <c r="CE77" s="42">
        <f>CB77</f>
        <v/>
      </c>
      <c r="CF77" s="43" t="inlineStr">
        <is>
          <t>True. Government announced and in progress.</t>
        </is>
      </c>
    </row>
    <row r="78" ht="40" customHeight="1">
      <c r="A78" s="50" t="n">
        <v>76</v>
      </c>
      <c r="B78" s="51" t="inlineStr">
        <is>
          <t>A severe drop in cereal production due to drought has forced Morocco to significantly increase grain imports.</t>
        </is>
      </c>
      <c r="C78" s="50" t="inlineStr">
        <is>
          <t>Science</t>
        </is>
      </c>
      <c r="D78" s="39" t="n">
        <v>0.82</v>
      </c>
      <c r="E78" s="39" t="n">
        <v>0.82</v>
      </c>
      <c r="F78" s="39" t="n">
        <v>0.75</v>
      </c>
      <c r="G78" s="39" t="n">
        <v>0.8</v>
      </c>
      <c r="H78" s="40">
        <f>IFERROR(AVERAGE(D78,E78,F78,G78),"")</f>
        <v/>
      </c>
      <c r="I78" s="39" t="n">
        <v>0.75</v>
      </c>
      <c r="J78" s="39" t="n">
        <v>0.7</v>
      </c>
      <c r="K78" s="39" t="n">
        <v>0.7</v>
      </c>
      <c r="L78" s="39" t="n">
        <v>0.65</v>
      </c>
      <c r="M78" s="40">
        <f>IFERROR(AVERAGE(I78,J78,K78,L78),"")</f>
        <v/>
      </c>
      <c r="N78" s="39" t="n">
        <v>0.62</v>
      </c>
      <c r="O78" s="39" t="n">
        <v>0.72</v>
      </c>
      <c r="P78" s="40">
        <f>IFERROR(IF(H78=0,0,H78^(H78^(-0.5)))*SQRT(M78)*((4*N78+O78)/5),"")</f>
        <v/>
      </c>
      <c r="Q78" s="39" t="n">
        <v>0.4</v>
      </c>
      <c r="R78" s="39" t="n">
        <v>0.9</v>
      </c>
      <c r="S78" s="39" t="n">
        <v>0.88</v>
      </c>
      <c r="T78" s="39" t="n">
        <v>0.8</v>
      </c>
      <c r="U78" s="40">
        <f>IFERROR(((Q78^1.4+T78)/2)*R78*(1-EXP(-4.605*S78)),"")</f>
        <v/>
      </c>
      <c r="V78" s="39" t="n">
        <v>0.62</v>
      </c>
      <c r="W78" s="39" t="n">
        <v>0.68</v>
      </c>
      <c r="X78" s="39" t="n">
        <v>0.6</v>
      </c>
      <c r="Y78" s="39" t="n">
        <v>0.7</v>
      </c>
      <c r="Z78" s="39" t="n">
        <v>0.52</v>
      </c>
      <c r="AA78" s="39" t="n">
        <v>0.7</v>
      </c>
      <c r="AB78" s="40">
        <f>IFERROR(Z78*(Y78*AA78^1.1)^1.1*((3*V78+2*W78+X78)/6)^0.5,"")</f>
        <v/>
      </c>
      <c r="AC78" s="40">
        <f>IFERROR(SQRT(AB78),"")</f>
        <v/>
      </c>
      <c r="AD78" s="39" t="n">
        <v>0.68</v>
      </c>
      <c r="AE78" s="39" t="n">
        <v>0.48</v>
      </c>
      <c r="AF78" s="40">
        <f>IFERROR(AE78*(1-AE78*H78),"")</f>
        <v/>
      </c>
      <c r="AG78" s="39" t="n">
        <v>0.65</v>
      </c>
      <c r="AH78" s="39" t="n">
        <v>0.8</v>
      </c>
      <c r="AI78" s="39" t="n">
        <v>0.75</v>
      </c>
      <c r="AJ78" s="40">
        <f>IFERROR(AH78^2.1*AG78^0.2*(2*AF78+3*AI78+AD78)/6,"")</f>
        <v/>
      </c>
      <c r="AK78" s="40">
        <f>IFERROR(SQRT(AJ78),"")</f>
        <v/>
      </c>
      <c r="AL78" s="39" t="n">
        <v>0.45</v>
      </c>
      <c r="AM78" s="40">
        <f>IFERROR(1-EXP(-AL78),"")</f>
        <v/>
      </c>
      <c r="AN78" s="40">
        <f>IFERROR(4.18*AM78^0.7*(1-AM78)^1.5,"")</f>
        <v/>
      </c>
      <c r="AO78" s="39" t="n">
        <v>0.58</v>
      </c>
      <c r="AP78" s="39" t="n">
        <v>0.5</v>
      </c>
      <c r="AQ78" s="39" t="n">
        <v>0.58</v>
      </c>
      <c r="AR78" s="39" t="n">
        <v>0.78</v>
      </c>
      <c r="AS78" s="40">
        <f>IFERROR(AN78^(1-AO78)*AP78*(4*AQ78*(1-AQ78))*AR78^1.15,"")</f>
        <v/>
      </c>
      <c r="AT78" s="40">
        <f>IFERROR(AS78^(1/3),"")</f>
        <v/>
      </c>
      <c r="AU78" s="39" t="n">
        <v>2</v>
      </c>
      <c r="AV78" s="39" t="n">
        <v>3</v>
      </c>
      <c r="AW78" s="40">
        <f>IFERROR(IF(AV78&lt;=1,AU78,AU78*(1+(AV78-1)*0.6)),"")</f>
        <v/>
      </c>
      <c r="AX78" s="39" t="n">
        <v>0.9</v>
      </c>
      <c r="AY78" s="39" t="n">
        <v>0.52</v>
      </c>
      <c r="AZ78" s="41" t="n">
        <v>0.5</v>
      </c>
      <c r="BA78" s="40">
        <f>IFERROR(AZ78/(1-AZ78),"")</f>
        <v/>
      </c>
      <c r="BB78" s="40">
        <f>IFERROR(EXP((P78-0.301)/(0.301*(1-0.301))),"")</f>
        <v/>
      </c>
      <c r="BC78" s="40">
        <f>IFERROR(EXP((U78-0.354)/(0.354*(1-0.354))),"")</f>
        <v/>
      </c>
      <c r="BD78" s="40">
        <f>IFERROR(AW78,"")</f>
        <v/>
      </c>
      <c r="BE78" s="40">
        <f>IFERROR(EXP((AX78-0.75)/(0.75*(1-0.75))),"")</f>
        <v/>
      </c>
      <c r="BF78" s="40">
        <f>IFERROR(EXP((AY78-0.5)/(0.5*(1-0.5))),"")</f>
        <v/>
      </c>
      <c r="BG78" s="40">
        <f>IFERROR(BA78*BB78*BC78*BD78*BE78*BF78,"")</f>
        <v/>
      </c>
      <c r="BH78" s="40">
        <f>IFERROR(BG78/(1+BG78),"")</f>
        <v/>
      </c>
      <c r="BI78" s="40">
        <f>IFERROR(IF(BH78&gt;=1,1E9,BH78/(1-BH78)),"")</f>
        <v/>
      </c>
      <c r="BJ78" s="40">
        <f>IFERROR(EXP((AC78-0.372)/(0.372*(1-0.372))),"")</f>
        <v/>
      </c>
      <c r="BK78" s="40">
        <f>IFERROR(EXP((AK78-0.415)/(0.415*(1-0.415))),"")</f>
        <v/>
      </c>
      <c r="BL78" s="40">
        <f>IFERROR(EXP((AT78-0.405)/(0.405*(1-0.405))),"")</f>
        <v/>
      </c>
      <c r="BM78" s="40">
        <f>IFERROR(BI78*BJ78*BK78*BL78,"")</f>
        <v/>
      </c>
      <c r="BN78" s="40">
        <f>IFERROR(BM78/(1+BM78),"")</f>
        <v/>
      </c>
      <c r="BO78" s="40">
        <f>IFERROR(IF(AC78&gt;=1,0.999,1-EXP(1-(1-AC78)^(-0.8))),"")</f>
        <v/>
      </c>
      <c r="BP78" s="40">
        <f>IFERROR(IF(AK78&gt;=1,0.999,1-EXP(1-(1-AK78)^(-0.75))),"")</f>
        <v/>
      </c>
      <c r="BQ78" s="40">
        <f>IFERROR(1-EXP(-AL78*(1+AL78)),"")</f>
        <v/>
      </c>
      <c r="BR78" s="40">
        <f>IFERROR(BQ78^(1-AO78)*AP78*(4*AQ78*(1-AQ78))*AR78^1.15,"")</f>
        <v/>
      </c>
      <c r="BS78" s="40">
        <f>IFERROR(IF(BR78^(1/3)&gt;=1,0.999,1-EXP(1-(1-BR78^(1/3))^(-0.7))),"")</f>
        <v/>
      </c>
      <c r="BT78" s="40">
        <f>1</f>
        <v/>
      </c>
      <c r="BU78" s="40">
        <f>IFERROR(EXP((BO78-0.372)/(0.372*(1-0.372))),"")</f>
        <v/>
      </c>
      <c r="BV78" s="40">
        <f>IFERROR(EXP((BP78-0.415)/(0.415*(1-0.415))),"")</f>
        <v/>
      </c>
      <c r="BW78" s="40">
        <f>IFERROR(EXP((BS78-0.405)/(0.405*(1-0.405))),"")</f>
        <v/>
      </c>
      <c r="BX78" s="40">
        <f>IFERROR(BT78*BU78*BV78*BW78,"")</f>
        <v/>
      </c>
      <c r="BY78" s="40">
        <f>IFERROR(BX78/(1+BX78),"")</f>
        <v/>
      </c>
      <c r="BZ78" s="40">
        <f>IFERROR(EXP(0.15*(SQRT(BH78)-0.5)/(0.5*0.5)),"")</f>
        <v/>
      </c>
      <c r="CA78" s="40">
        <f>IFERROR(IF(BY78&gt;=1,1E9,BY78/(1-BY78)*BZ78),"")</f>
        <v/>
      </c>
      <c r="CB78" s="40">
        <f>IFERROR(CA78/(1+CA78),"")</f>
        <v/>
      </c>
      <c r="CC78" s="42">
        <f>BH78</f>
        <v/>
      </c>
      <c r="CD78" s="42">
        <f>BN78</f>
        <v/>
      </c>
      <c r="CE78" s="42">
        <f>CB78</f>
        <v/>
      </c>
      <c r="CF78" s="43" t="inlineStr">
        <is>
          <t>True. Documented consequence of drought. Water salient right now.</t>
        </is>
      </c>
    </row>
    <row r="79" ht="40" customHeight="1">
      <c r="A79" s="50" t="n">
        <v>77</v>
      </c>
      <c r="B79" s="51" t="inlineStr">
        <is>
          <t>The average global temperature has already risen measurably since pre-industrial times.</t>
        </is>
      </c>
      <c r="C79" s="50" t="inlineStr">
        <is>
          <t>Science</t>
        </is>
      </c>
      <c r="D79" s="39" t="n">
        <v>0.88</v>
      </c>
      <c r="E79" s="39" t="n">
        <v>0.88</v>
      </c>
      <c r="F79" s="39" t="n">
        <v>0.85</v>
      </c>
      <c r="G79" s="39" t="n">
        <v>0.88</v>
      </c>
      <c r="H79" s="40">
        <f>IFERROR(AVERAGE(D79,E79,F79,G79),"")</f>
        <v/>
      </c>
      <c r="I79" s="39" t="n">
        <v>0.95</v>
      </c>
      <c r="J79" s="39" t="n">
        <v>0.92</v>
      </c>
      <c r="K79" s="39" t="n">
        <v>0.9</v>
      </c>
      <c r="L79" s="39" t="n">
        <v>0.88</v>
      </c>
      <c r="M79" s="40">
        <f>IFERROR(AVERAGE(I79,J79,K79,L79),"")</f>
        <v/>
      </c>
      <c r="N79" s="39" t="n">
        <v>0.75</v>
      </c>
      <c r="O79" s="39" t="n">
        <v>0.88</v>
      </c>
      <c r="P79" s="40">
        <f>IFERROR(IF(H79=0,0,H79^(H79^(-0.5)))*SQRT(M79)*((4*N79+O79)/5),"")</f>
        <v/>
      </c>
      <c r="Q79" s="39" t="n">
        <v>0.28</v>
      </c>
      <c r="R79" s="39" t="n">
        <v>0.95</v>
      </c>
      <c r="S79" s="39" t="n">
        <v>0.95</v>
      </c>
      <c r="T79" s="39" t="n">
        <v>0.88</v>
      </c>
      <c r="U79" s="40">
        <f>IFERROR(((Q79^1.4+T79)/2)*R79*(1-EXP(-4.605*S79)),"")</f>
        <v/>
      </c>
      <c r="V79" s="39" t="n">
        <v>0.65</v>
      </c>
      <c r="W79" s="39" t="n">
        <v>0.7</v>
      </c>
      <c r="X79" s="39" t="n">
        <v>0.6</v>
      </c>
      <c r="Y79" s="39" t="n">
        <v>0.7</v>
      </c>
      <c r="Z79" s="39" t="n">
        <v>0.52</v>
      </c>
      <c r="AA79" s="39" t="n">
        <v>0.7</v>
      </c>
      <c r="AB79" s="40">
        <f>IFERROR(Z79*(Y79*AA79^1.1)^1.1*((3*V79+2*W79+X79)/6)^0.5,"")</f>
        <v/>
      </c>
      <c r="AC79" s="40">
        <f>IFERROR(SQRT(AB79),"")</f>
        <v/>
      </c>
      <c r="AD79" s="39" t="n">
        <v>0.65</v>
      </c>
      <c r="AE79" s="39" t="n">
        <v>0.5</v>
      </c>
      <c r="AF79" s="40">
        <f>IFERROR(AE79*(1-AE79*H79),"")</f>
        <v/>
      </c>
      <c r="AG79" s="39" t="n">
        <v>0.65</v>
      </c>
      <c r="AH79" s="39" t="n">
        <v>0.72</v>
      </c>
      <c r="AI79" s="39" t="n">
        <v>0.78</v>
      </c>
      <c r="AJ79" s="40">
        <f>IFERROR(AH79^2.1*AG79^0.2*(2*AF79+3*AI79+AD79)/6,"")</f>
        <v/>
      </c>
      <c r="AK79" s="40">
        <f>IFERROR(SQRT(AJ79),"")</f>
        <v/>
      </c>
      <c r="AL79" s="39" t="n">
        <v>0.4</v>
      </c>
      <c r="AM79" s="40">
        <f>IFERROR(1-EXP(-AL79),"")</f>
        <v/>
      </c>
      <c r="AN79" s="40">
        <f>IFERROR(4.18*AM79^0.7*(1-AM79)^1.5,"")</f>
        <v/>
      </c>
      <c r="AO79" s="39" t="n">
        <v>0.55</v>
      </c>
      <c r="AP79" s="39" t="n">
        <v>0.48</v>
      </c>
      <c r="AQ79" s="39" t="n">
        <v>0.58</v>
      </c>
      <c r="AR79" s="39" t="n">
        <v>0.75</v>
      </c>
      <c r="AS79" s="40">
        <f>IFERROR(AN79^(1-AO79)*AP79*(4*AQ79*(1-AQ79))*AR79^1.15,"")</f>
        <v/>
      </c>
      <c r="AT79" s="40">
        <f>IFERROR(AS79^(1/3),"")</f>
        <v/>
      </c>
      <c r="AU79" s="39" t="n">
        <v>5</v>
      </c>
      <c r="AV79" s="39" t="n">
        <v>6</v>
      </c>
      <c r="AW79" s="40">
        <f>IFERROR(IF(AV79&lt;=1,AU79,AU79*(1+(AV79-1)*0.6)),"")</f>
        <v/>
      </c>
      <c r="AX79" s="39" t="n">
        <v>0.98</v>
      </c>
      <c r="AY79" s="39" t="n">
        <v>0.9</v>
      </c>
      <c r="AZ79" s="41" t="n">
        <v>0.5</v>
      </c>
      <c r="BA79" s="40">
        <f>IFERROR(AZ79/(1-AZ79),"")</f>
        <v/>
      </c>
      <c r="BB79" s="40">
        <f>IFERROR(EXP((P79-0.301)/(0.301*(1-0.301))),"")</f>
        <v/>
      </c>
      <c r="BC79" s="40">
        <f>IFERROR(EXP((U79-0.354)/(0.354*(1-0.354))),"")</f>
        <v/>
      </c>
      <c r="BD79" s="40">
        <f>IFERROR(AW79,"")</f>
        <v/>
      </c>
      <c r="BE79" s="40">
        <f>IFERROR(EXP((AX79-0.75)/(0.75*(1-0.75))),"")</f>
        <v/>
      </c>
      <c r="BF79" s="40">
        <f>IFERROR(EXP((AY79-0.5)/(0.5*(1-0.5))),"")</f>
        <v/>
      </c>
      <c r="BG79" s="40">
        <f>IFERROR(BA79*BB79*BC79*BD79*BE79*BF79,"")</f>
        <v/>
      </c>
      <c r="BH79" s="40">
        <f>IFERROR(BG79/(1+BG79),"")</f>
        <v/>
      </c>
      <c r="BI79" s="40">
        <f>IFERROR(IF(BH79&gt;=1,1E9,BH79/(1-BH79)),"")</f>
        <v/>
      </c>
      <c r="BJ79" s="40">
        <f>IFERROR(EXP((AC79-0.372)/(0.372*(1-0.372))),"")</f>
        <v/>
      </c>
      <c r="BK79" s="40">
        <f>IFERROR(EXP((AK79-0.415)/(0.415*(1-0.415))),"")</f>
        <v/>
      </c>
      <c r="BL79" s="40">
        <f>IFERROR(EXP((AT79-0.405)/(0.405*(1-0.405))),"")</f>
        <v/>
      </c>
      <c r="BM79" s="40">
        <f>IFERROR(BI79*BJ79*BK79*BL79,"")</f>
        <v/>
      </c>
      <c r="BN79" s="40">
        <f>IFERROR(BM79/(1+BM79),"")</f>
        <v/>
      </c>
      <c r="BO79" s="40">
        <f>IFERROR(IF(AC79&gt;=1,0.999,1-EXP(1-(1-AC79)^(-0.8))),"")</f>
        <v/>
      </c>
      <c r="BP79" s="40">
        <f>IFERROR(IF(AK79&gt;=1,0.999,1-EXP(1-(1-AK79)^(-0.75))),"")</f>
        <v/>
      </c>
      <c r="BQ79" s="40">
        <f>IFERROR(1-EXP(-AL79*(1+AL79)),"")</f>
        <v/>
      </c>
      <c r="BR79" s="40">
        <f>IFERROR(BQ79^(1-AO79)*AP79*(4*AQ79*(1-AQ79))*AR79^1.15,"")</f>
        <v/>
      </c>
      <c r="BS79" s="40">
        <f>IFERROR(IF(BR79^(1/3)&gt;=1,0.999,1-EXP(1-(1-BR79^(1/3))^(-0.7))),"")</f>
        <v/>
      </c>
      <c r="BT79" s="40">
        <f>1</f>
        <v/>
      </c>
      <c r="BU79" s="40">
        <f>IFERROR(EXP((BO79-0.372)/(0.372*(1-0.372))),"")</f>
        <v/>
      </c>
      <c r="BV79" s="40">
        <f>IFERROR(EXP((BP79-0.415)/(0.415*(1-0.415))),"")</f>
        <v/>
      </c>
      <c r="BW79" s="40">
        <f>IFERROR(EXP((BS79-0.405)/(0.405*(1-0.405))),"")</f>
        <v/>
      </c>
      <c r="BX79" s="40">
        <f>IFERROR(BT79*BU79*BV79*BW79,"")</f>
        <v/>
      </c>
      <c r="BY79" s="40">
        <f>IFERROR(BX79/(1+BX79),"")</f>
        <v/>
      </c>
      <c r="BZ79" s="40">
        <f>IFERROR(EXP(0.15*(SQRT(BH79)-0.5)/(0.5*0.5)),"")</f>
        <v/>
      </c>
      <c r="CA79" s="40">
        <f>IFERROR(IF(BY79&gt;=1,1E9,BY79/(1-BY79)*BZ79),"")</f>
        <v/>
      </c>
      <c r="CB79" s="40">
        <f>IFERROR(CA79/(1+CA79),"")</f>
        <v/>
      </c>
      <c r="CC79" s="42">
        <f>BH79</f>
        <v/>
      </c>
      <c r="CD79" s="42">
        <f>BN79</f>
        <v/>
      </c>
      <c r="CE79" s="42">
        <f>CB79</f>
        <v/>
      </c>
      <c r="CF79" s="43" t="inlineStr">
        <is>
          <t>Scientific consensus. Well documented. Phrased felt not statistical.</t>
        </is>
      </c>
    </row>
    <row r="80" ht="40" customHeight="1">
      <c r="A80" s="50" t="n">
        <v>78</v>
      </c>
      <c r="B80" s="51" t="inlineStr">
        <is>
          <t>Morocco's renewable energy capacity has grown significantly — it now generates a substantial share of electricity from wind and solar.</t>
        </is>
      </c>
      <c r="C80" s="50" t="inlineStr">
        <is>
          <t>Science</t>
        </is>
      </c>
      <c r="D80" s="39" t="n">
        <v>0.8</v>
      </c>
      <c r="E80" s="39" t="n">
        <v>0.8</v>
      </c>
      <c r="F80" s="39" t="n">
        <v>0.72</v>
      </c>
      <c r="G80" s="39" t="n">
        <v>0.78</v>
      </c>
      <c r="H80" s="40">
        <f>IFERROR(AVERAGE(D80,E80,F80,G80),"")</f>
        <v/>
      </c>
      <c r="I80" s="39" t="n">
        <v>0.72</v>
      </c>
      <c r="J80" s="39" t="n">
        <v>0.68</v>
      </c>
      <c r="K80" s="39" t="n">
        <v>0.68</v>
      </c>
      <c r="L80" s="39" t="n">
        <v>0.65</v>
      </c>
      <c r="M80" s="40">
        <f>IFERROR(AVERAGE(I80,J80,K80,L80),"")</f>
        <v/>
      </c>
      <c r="N80" s="39" t="n">
        <v>0.62</v>
      </c>
      <c r="O80" s="39" t="n">
        <v>0.72</v>
      </c>
      <c r="P80" s="40">
        <f>IFERROR(IF(H80=0,0,H80^(H80^(-0.5)))*SQRT(M80)*((4*N80+O80)/5),"")</f>
        <v/>
      </c>
      <c r="Q80" s="39" t="n">
        <v>0.4</v>
      </c>
      <c r="R80" s="39" t="n">
        <v>0.88</v>
      </c>
      <c r="S80" s="39" t="n">
        <v>0.88</v>
      </c>
      <c r="T80" s="39" t="n">
        <v>0.78</v>
      </c>
      <c r="U80" s="40">
        <f>IFERROR(((Q80^1.4+T80)/2)*R80*(1-EXP(-4.605*S80)),"")</f>
        <v/>
      </c>
      <c r="V80" s="39" t="n">
        <v>0.62</v>
      </c>
      <c r="W80" s="39" t="n">
        <v>0.68</v>
      </c>
      <c r="X80" s="39" t="n">
        <v>0.6</v>
      </c>
      <c r="Y80" s="39" t="n">
        <v>0.68</v>
      </c>
      <c r="Z80" s="39" t="n">
        <v>0.52</v>
      </c>
      <c r="AA80" s="39" t="n">
        <v>0.68</v>
      </c>
      <c r="AB80" s="40">
        <f>IFERROR(Z80*(Y80*AA80^1.1)^1.1*((3*V80+2*W80+X80)/6)^0.5,"")</f>
        <v/>
      </c>
      <c r="AC80" s="40">
        <f>IFERROR(SQRT(AB80),"")</f>
        <v/>
      </c>
      <c r="AD80" s="39" t="n">
        <v>0.62</v>
      </c>
      <c r="AE80" s="39" t="n">
        <v>0.45</v>
      </c>
      <c r="AF80" s="40">
        <f>IFERROR(AE80*(1-AE80*H80),"")</f>
        <v/>
      </c>
      <c r="AG80" s="39" t="n">
        <v>0.6</v>
      </c>
      <c r="AH80" s="39" t="n">
        <v>0.78</v>
      </c>
      <c r="AI80" s="39" t="n">
        <v>0.68</v>
      </c>
      <c r="AJ80" s="40">
        <f>IFERROR(AH80^2.1*AG80^0.2*(2*AF80+3*AI80+AD80)/6,"")</f>
        <v/>
      </c>
      <c r="AK80" s="40">
        <f>IFERROR(SQRT(AJ80),"")</f>
        <v/>
      </c>
      <c r="AL80" s="39" t="n">
        <v>0.55</v>
      </c>
      <c r="AM80" s="40">
        <f>IFERROR(1-EXP(-AL80),"")</f>
        <v/>
      </c>
      <c r="AN80" s="40">
        <f>IFERROR(4.18*AM80^0.7*(1-AM80)^1.5,"")</f>
        <v/>
      </c>
      <c r="AO80" s="39" t="n">
        <v>0.55</v>
      </c>
      <c r="AP80" s="39" t="n">
        <v>0.48</v>
      </c>
      <c r="AQ80" s="39" t="n">
        <v>0.55</v>
      </c>
      <c r="AR80" s="39" t="n">
        <v>0.65</v>
      </c>
      <c r="AS80" s="40">
        <f>IFERROR(AN80^(1-AO80)*AP80*(4*AQ80*(1-AQ80))*AR80^1.15,"")</f>
        <v/>
      </c>
      <c r="AT80" s="40">
        <f>IFERROR(AS80^(1/3),"")</f>
        <v/>
      </c>
      <c r="AU80" s="39" t="n">
        <v>1.8</v>
      </c>
      <c r="AV80" s="39" t="n">
        <v>2</v>
      </c>
      <c r="AW80" s="40">
        <f>IFERROR(IF(AV80&lt;=1,AU80,AU80*(1+(AV80-1)*0.6)),"")</f>
        <v/>
      </c>
      <c r="AX80" s="39" t="n">
        <v>0.9</v>
      </c>
      <c r="AY80" s="39" t="n">
        <v>0.52</v>
      </c>
      <c r="AZ80" s="41" t="n">
        <v>0.5</v>
      </c>
      <c r="BA80" s="40">
        <f>IFERROR(AZ80/(1-AZ80),"")</f>
        <v/>
      </c>
      <c r="BB80" s="40">
        <f>IFERROR(EXP((P80-0.301)/(0.301*(1-0.301))),"")</f>
        <v/>
      </c>
      <c r="BC80" s="40">
        <f>IFERROR(EXP((U80-0.354)/(0.354*(1-0.354))),"")</f>
        <v/>
      </c>
      <c r="BD80" s="40">
        <f>IFERROR(AW80,"")</f>
        <v/>
      </c>
      <c r="BE80" s="40">
        <f>IFERROR(EXP((AX80-0.75)/(0.75*(1-0.75))),"")</f>
        <v/>
      </c>
      <c r="BF80" s="40">
        <f>IFERROR(EXP((AY80-0.5)/(0.5*(1-0.5))),"")</f>
        <v/>
      </c>
      <c r="BG80" s="40">
        <f>IFERROR(BA80*BB80*BC80*BD80*BE80*BF80,"")</f>
        <v/>
      </c>
      <c r="BH80" s="40">
        <f>IFERROR(BG80/(1+BG80),"")</f>
        <v/>
      </c>
      <c r="BI80" s="40">
        <f>IFERROR(IF(BH80&gt;=1,1E9,BH80/(1-BH80)),"")</f>
        <v/>
      </c>
      <c r="BJ80" s="40">
        <f>IFERROR(EXP((AC80-0.372)/(0.372*(1-0.372))),"")</f>
        <v/>
      </c>
      <c r="BK80" s="40">
        <f>IFERROR(EXP((AK80-0.415)/(0.415*(1-0.415))),"")</f>
        <v/>
      </c>
      <c r="BL80" s="40">
        <f>IFERROR(EXP((AT80-0.405)/(0.405*(1-0.405))),"")</f>
        <v/>
      </c>
      <c r="BM80" s="40">
        <f>IFERROR(BI80*BJ80*BK80*BL80,"")</f>
        <v/>
      </c>
      <c r="BN80" s="40">
        <f>IFERROR(BM80/(1+BM80),"")</f>
        <v/>
      </c>
      <c r="BO80" s="40">
        <f>IFERROR(IF(AC80&gt;=1,0.999,1-EXP(1-(1-AC80)^(-0.8))),"")</f>
        <v/>
      </c>
      <c r="BP80" s="40">
        <f>IFERROR(IF(AK80&gt;=1,0.999,1-EXP(1-(1-AK80)^(-0.75))),"")</f>
        <v/>
      </c>
      <c r="BQ80" s="40">
        <f>IFERROR(1-EXP(-AL80*(1+AL80)),"")</f>
        <v/>
      </c>
      <c r="BR80" s="40">
        <f>IFERROR(BQ80^(1-AO80)*AP80*(4*AQ80*(1-AQ80))*AR80^1.15,"")</f>
        <v/>
      </c>
      <c r="BS80" s="40">
        <f>IFERROR(IF(BR80^(1/3)&gt;=1,0.999,1-EXP(1-(1-BR80^(1/3))^(-0.7))),"")</f>
        <v/>
      </c>
      <c r="BT80" s="40">
        <f>1</f>
        <v/>
      </c>
      <c r="BU80" s="40">
        <f>IFERROR(EXP((BO80-0.372)/(0.372*(1-0.372))),"")</f>
        <v/>
      </c>
      <c r="BV80" s="40">
        <f>IFERROR(EXP((BP80-0.415)/(0.415*(1-0.415))),"")</f>
        <v/>
      </c>
      <c r="BW80" s="40">
        <f>IFERROR(EXP((BS80-0.405)/(0.405*(1-0.405))),"")</f>
        <v/>
      </c>
      <c r="BX80" s="40">
        <f>IFERROR(BT80*BU80*BV80*BW80,"")</f>
        <v/>
      </c>
      <c r="BY80" s="40">
        <f>IFERROR(BX80/(1+BX80),"")</f>
        <v/>
      </c>
      <c r="BZ80" s="40">
        <f>IFERROR(EXP(0.15*(SQRT(BH80)-0.5)/(0.5*0.5)),"")</f>
        <v/>
      </c>
      <c r="CA80" s="40">
        <f>IFERROR(IF(BY80&gt;=1,1E9,BY80/(1-BY80)*BZ80),"")</f>
        <v/>
      </c>
      <c r="CB80" s="40">
        <f>IFERROR(CA80/(1+CA80),"")</f>
        <v/>
      </c>
      <c r="CC80" s="42">
        <f>BH80</f>
        <v/>
      </c>
      <c r="CD80" s="42">
        <f>BN80</f>
        <v/>
      </c>
      <c r="CE80" s="42">
        <f>CB80</f>
        <v/>
      </c>
      <c r="CF80" s="43" t="inlineStr">
        <is>
          <t>True. Well documented. Noor Ouarzazate etc. widely known.</t>
        </is>
      </c>
    </row>
    <row r="81" ht="40" customHeight="1">
      <c r="A81" s="50" t="n">
        <v>79</v>
      </c>
      <c r="B81" s="51" t="inlineStr">
        <is>
          <t>Using a microwave oven regularly causes cancer through radiation exposure.</t>
        </is>
      </c>
      <c r="C81" s="50" t="inlineStr">
        <is>
          <t>Science</t>
        </is>
      </c>
      <c r="D81" s="39" t="n">
        <v>0.78</v>
      </c>
      <c r="E81" s="39" t="n">
        <v>0.78</v>
      </c>
      <c r="F81" s="39" t="n">
        <v>0.78</v>
      </c>
      <c r="G81" s="39" t="n">
        <v>0.78</v>
      </c>
      <c r="H81" s="40">
        <f>IFERROR(AVERAGE(D81,E81,F81,G81),"")</f>
        <v/>
      </c>
      <c r="I81" s="39" t="n">
        <v>0.18</v>
      </c>
      <c r="J81" s="39" t="n">
        <v>0.15</v>
      </c>
      <c r="K81" s="39" t="n">
        <v>0.12</v>
      </c>
      <c r="L81" s="39" t="n">
        <v>0.15</v>
      </c>
      <c r="M81" s="40">
        <f>IFERROR(AVERAGE(I81,J81,K81,L81),"")</f>
        <v/>
      </c>
      <c r="N81" s="39" t="n">
        <v>0.28</v>
      </c>
      <c r="O81" s="39" t="n">
        <v>0.58</v>
      </c>
      <c r="P81" s="40">
        <f>IFERROR(IF(H81=0,0,H81^(H81^(-0.5)))*SQRT(M81)*((4*N81+O81)/5),"")</f>
        <v/>
      </c>
      <c r="Q81" s="39" t="n">
        <v>0.45</v>
      </c>
      <c r="R81" s="39" t="n">
        <v>0.65</v>
      </c>
      <c r="S81" s="39" t="n">
        <v>0.72</v>
      </c>
      <c r="T81" s="39" t="n">
        <v>0.6</v>
      </c>
      <c r="U81" s="40">
        <f>IFERROR(((Q81^1.4+T81)/2)*R81*(1-EXP(-4.605*S81)),"")</f>
        <v/>
      </c>
      <c r="V81" s="39" t="n">
        <v>0.55</v>
      </c>
      <c r="W81" s="39" t="n">
        <v>0.6</v>
      </c>
      <c r="X81" s="39" t="n">
        <v>0.6</v>
      </c>
      <c r="Y81" s="39" t="n">
        <v>0.58</v>
      </c>
      <c r="Z81" s="39" t="n">
        <v>0.38</v>
      </c>
      <c r="AA81" s="39" t="n">
        <v>0.65</v>
      </c>
      <c r="AB81" s="40">
        <f>IFERROR(Z81*(Y81*AA81^1.1)^1.1*((3*V81+2*W81+X81)/6)^0.5,"")</f>
        <v/>
      </c>
      <c r="AC81" s="40">
        <f>IFERROR(SQRT(AB81),"")</f>
        <v/>
      </c>
      <c r="AD81" s="39" t="n">
        <v>0.55</v>
      </c>
      <c r="AE81" s="39" t="n">
        <v>0.2</v>
      </c>
      <c r="AF81" s="40">
        <f>IFERROR(AE81*(1-AE81*H81),"")</f>
        <v/>
      </c>
      <c r="AG81" s="39" t="n">
        <v>0.52</v>
      </c>
      <c r="AH81" s="39" t="n">
        <v>0.55</v>
      </c>
      <c r="AI81" s="39" t="n">
        <v>0.55</v>
      </c>
      <c r="AJ81" s="40">
        <f>IFERROR(AH81^2.1*AG81^0.2*(2*AF81+3*AI81+AD81)/6,"")</f>
        <v/>
      </c>
      <c r="AK81" s="40">
        <f>IFERROR(SQRT(AJ81),"")</f>
        <v/>
      </c>
      <c r="AL81" s="39" t="n">
        <v>0.55</v>
      </c>
      <c r="AM81" s="40">
        <f>IFERROR(1-EXP(-AL81),"")</f>
        <v/>
      </c>
      <c r="AN81" s="40">
        <f>IFERROR(4.18*AM81^0.7*(1-AM81)^1.5,"")</f>
        <v/>
      </c>
      <c r="AO81" s="39" t="n">
        <v>0.52</v>
      </c>
      <c r="AP81" s="39" t="n">
        <v>0.42</v>
      </c>
      <c r="AQ81" s="39" t="n">
        <v>0.52</v>
      </c>
      <c r="AR81" s="39" t="n">
        <v>0.62</v>
      </c>
      <c r="AS81" s="40">
        <f>IFERROR(AN81^(1-AO81)*AP81*(4*AQ81*(1-AQ81))*AR81^1.15,"")</f>
        <v/>
      </c>
      <c r="AT81" s="40">
        <f>IFERROR(AS81^(1/3),"")</f>
        <v/>
      </c>
      <c r="AU81" s="39" t="n">
        <v>1</v>
      </c>
      <c r="AV81" s="39" t="n">
        <v>1</v>
      </c>
      <c r="AW81" s="40">
        <f>IFERROR(IF(AV81&lt;=1,AU81,AU81*(1+(AV81-1)*0.6)),"")</f>
        <v/>
      </c>
      <c r="AX81" s="39" t="n">
        <v>0.22</v>
      </c>
      <c r="AY81" s="39" t="n">
        <v>0.05</v>
      </c>
      <c r="AZ81" s="41" t="n">
        <v>0.5</v>
      </c>
      <c r="BA81" s="40">
        <f>IFERROR(AZ81/(1-AZ81),"")</f>
        <v/>
      </c>
      <c r="BB81" s="40">
        <f>IFERROR(EXP((P81-0.301)/(0.301*(1-0.301))),"")</f>
        <v/>
      </c>
      <c r="BC81" s="40">
        <f>IFERROR(EXP((U81-0.354)/(0.354*(1-0.354))),"")</f>
        <v/>
      </c>
      <c r="BD81" s="40">
        <f>IFERROR(AW81,"")</f>
        <v/>
      </c>
      <c r="BE81" s="40">
        <f>IFERROR(EXP((AX81-0.75)/(0.75*(1-0.75))),"")</f>
        <v/>
      </c>
      <c r="BF81" s="40">
        <f>IFERROR(EXP((AY81-0.5)/(0.5*(1-0.5))),"")</f>
        <v/>
      </c>
      <c r="BG81" s="40">
        <f>IFERROR(BA81*BB81*BC81*BD81*BE81*BF81,"")</f>
        <v/>
      </c>
      <c r="BH81" s="40">
        <f>IFERROR(BG81/(1+BG81),"")</f>
        <v/>
      </c>
      <c r="BI81" s="40">
        <f>IFERROR(IF(BH81&gt;=1,1E9,BH81/(1-BH81)),"")</f>
        <v/>
      </c>
      <c r="BJ81" s="40">
        <f>IFERROR(EXP((AC81-0.372)/(0.372*(1-0.372))),"")</f>
        <v/>
      </c>
      <c r="BK81" s="40">
        <f>IFERROR(EXP((AK81-0.415)/(0.415*(1-0.415))),"")</f>
        <v/>
      </c>
      <c r="BL81" s="40">
        <f>IFERROR(EXP((AT81-0.405)/(0.405*(1-0.405))),"")</f>
        <v/>
      </c>
      <c r="BM81" s="40">
        <f>IFERROR(BI81*BJ81*BK81*BL81,"")</f>
        <v/>
      </c>
      <c r="BN81" s="40">
        <f>IFERROR(BM81/(1+BM81),"")</f>
        <v/>
      </c>
      <c r="BO81" s="40">
        <f>IFERROR(IF(AC81&gt;=1,0.999,1-EXP(1-(1-AC81)^(-0.8))),"")</f>
        <v/>
      </c>
      <c r="BP81" s="40">
        <f>IFERROR(IF(AK81&gt;=1,0.999,1-EXP(1-(1-AK81)^(-0.75))),"")</f>
        <v/>
      </c>
      <c r="BQ81" s="40">
        <f>IFERROR(1-EXP(-AL81*(1+AL81)),"")</f>
        <v/>
      </c>
      <c r="BR81" s="40">
        <f>IFERROR(BQ81^(1-AO81)*AP81*(4*AQ81*(1-AQ81))*AR81^1.15,"")</f>
        <v/>
      </c>
      <c r="BS81" s="40">
        <f>IFERROR(IF(BR81^(1/3)&gt;=1,0.999,1-EXP(1-(1-BR81^(1/3))^(-0.7))),"")</f>
        <v/>
      </c>
      <c r="BT81" s="40">
        <f>1</f>
        <v/>
      </c>
      <c r="BU81" s="40">
        <f>IFERROR(EXP((BO81-0.372)/(0.372*(1-0.372))),"")</f>
        <v/>
      </c>
      <c r="BV81" s="40">
        <f>IFERROR(EXP((BP81-0.415)/(0.415*(1-0.415))),"")</f>
        <v/>
      </c>
      <c r="BW81" s="40">
        <f>IFERROR(EXP((BS81-0.405)/(0.405*(1-0.405))),"")</f>
        <v/>
      </c>
      <c r="BX81" s="40">
        <f>IFERROR(BT81*BU81*BV81*BW81,"")</f>
        <v/>
      </c>
      <c r="BY81" s="40">
        <f>IFERROR(BX81/(1+BX81),"")</f>
        <v/>
      </c>
      <c r="BZ81" s="40">
        <f>IFERROR(EXP(0.15*(SQRT(BH81)-0.5)/(0.5*0.5)),"")</f>
        <v/>
      </c>
      <c r="CA81" s="40">
        <f>IFERROR(IF(BY81&gt;=1,1E9,BY81/(1-BY81)*BZ81),"")</f>
        <v/>
      </c>
      <c r="CB81" s="40">
        <f>IFERROR(CA81/(1+CA81),"")</f>
        <v/>
      </c>
      <c r="CC81" s="42">
        <f>BH81</f>
        <v/>
      </c>
      <c r="CD81" s="42">
        <f>BN81</f>
        <v/>
      </c>
      <c r="CE81" s="42">
        <f>CB81</f>
        <v/>
      </c>
      <c r="CF81" s="43" t="inlineStr">
        <is>
          <t>False. Classic WhatsApp myth. A bit of belief remains.</t>
        </is>
      </c>
    </row>
    <row r="82" ht="40" customHeight="1">
      <c r="A82" s="52" t="n">
        <v>80</v>
      </c>
      <c r="B82" s="43" t="inlineStr">
        <is>
          <t>Morocco was never fully colonized — it was administered as a protectorate and maintained its monarchy and formal sovereignty.</t>
        </is>
      </c>
      <c r="C82" s="52" t="inlineStr">
        <is>
          <t>History</t>
        </is>
      </c>
      <c r="D82" s="39" t="n">
        <v>0.85</v>
      </c>
      <c r="E82" s="39" t="n">
        <v>0.85</v>
      </c>
      <c r="F82" s="39" t="n">
        <v>0.82</v>
      </c>
      <c r="G82" s="39" t="n">
        <v>0.85</v>
      </c>
      <c r="H82" s="40">
        <f>IFERROR(AVERAGE(D82,E82,F82,G82),"")</f>
        <v/>
      </c>
      <c r="I82" s="39" t="n">
        <v>0.78</v>
      </c>
      <c r="J82" s="39" t="n">
        <v>0.72</v>
      </c>
      <c r="K82" s="39" t="n">
        <v>0.75</v>
      </c>
      <c r="L82" s="39" t="n">
        <v>0.7</v>
      </c>
      <c r="M82" s="40">
        <f>IFERROR(AVERAGE(I82,J82,K82,L82),"")</f>
        <v/>
      </c>
      <c r="N82" s="39" t="n">
        <v>0.65</v>
      </c>
      <c r="O82" s="39" t="n">
        <v>0.78</v>
      </c>
      <c r="P82" s="40">
        <f>IFERROR(IF(H82=0,0,H82^(H82^(-0.5)))*SQRT(M82)*((4*N82+O82)/5),"")</f>
        <v/>
      </c>
      <c r="Q82" s="39" t="n">
        <v>0.38</v>
      </c>
      <c r="R82" s="39" t="n">
        <v>0.88</v>
      </c>
      <c r="S82" s="39" t="n">
        <v>0.82</v>
      </c>
      <c r="T82" s="39" t="n">
        <v>0.82</v>
      </c>
      <c r="U82" s="40">
        <f>IFERROR(((Q82^1.4+T82)/2)*R82*(1-EXP(-4.605*S82)),"")</f>
        <v/>
      </c>
      <c r="V82" s="39" t="n">
        <v>0.65</v>
      </c>
      <c r="W82" s="39" t="n">
        <v>0.7</v>
      </c>
      <c r="X82" s="39" t="n">
        <v>0.6</v>
      </c>
      <c r="Y82" s="39" t="n">
        <v>0.7</v>
      </c>
      <c r="Z82" s="39" t="n">
        <v>0.55</v>
      </c>
      <c r="AA82" s="39" t="n">
        <v>0.7</v>
      </c>
      <c r="AB82" s="40">
        <f>IFERROR(Z82*(Y82*AA82^1.1)^1.1*((3*V82+2*W82+X82)/6)^0.5,"")</f>
        <v/>
      </c>
      <c r="AC82" s="40">
        <f>IFERROR(SQRT(AB82),"")</f>
        <v/>
      </c>
      <c r="AD82" s="39" t="n">
        <v>0.68</v>
      </c>
      <c r="AE82" s="39" t="n">
        <v>0.5</v>
      </c>
      <c r="AF82" s="40">
        <f>IFERROR(AE82*(1-AE82*H82),"")</f>
        <v/>
      </c>
      <c r="AG82" s="39" t="n">
        <v>0.65</v>
      </c>
      <c r="AH82" s="39" t="n">
        <v>0.8</v>
      </c>
      <c r="AI82" s="39" t="n">
        <v>0.75</v>
      </c>
      <c r="AJ82" s="40">
        <f>IFERROR(AH82^2.1*AG82^0.2*(2*AF82+3*AI82+AD82)/6,"")</f>
        <v/>
      </c>
      <c r="AK82" s="40">
        <f>IFERROR(SQRT(AJ82),"")</f>
        <v/>
      </c>
      <c r="AL82" s="39" t="n">
        <v>0.3</v>
      </c>
      <c r="AM82" s="40">
        <f>IFERROR(1-EXP(-AL82),"")</f>
        <v/>
      </c>
      <c r="AN82" s="40">
        <f>IFERROR(4.18*AM82^0.7*(1-AM82)^1.5,"")</f>
        <v/>
      </c>
      <c r="AO82" s="39" t="n">
        <v>0.72</v>
      </c>
      <c r="AP82" s="39" t="n">
        <v>0.52</v>
      </c>
      <c r="AQ82" s="39" t="n">
        <v>0.62</v>
      </c>
      <c r="AR82" s="39" t="n">
        <v>0.8</v>
      </c>
      <c r="AS82" s="40">
        <f>IFERROR(AN82^(1-AO82)*AP82*(4*AQ82*(1-AQ82))*AR82^1.15,"")</f>
        <v/>
      </c>
      <c r="AT82" s="40">
        <f>IFERROR(AS82^(1/3),"")</f>
        <v/>
      </c>
      <c r="AU82" s="39" t="n">
        <v>2</v>
      </c>
      <c r="AV82" s="39" t="n">
        <v>3</v>
      </c>
      <c r="AW82" s="40">
        <f>IFERROR(IF(AV82&lt;=1,AU82,AU82*(1+(AV82-1)*0.6)),"")</f>
        <v/>
      </c>
      <c r="AX82" s="39" t="n">
        <v>0.88</v>
      </c>
      <c r="AY82" s="39" t="n">
        <v>0.5</v>
      </c>
      <c r="AZ82" s="41" t="n">
        <v>0.5</v>
      </c>
      <c r="BA82" s="40">
        <f>IFERROR(AZ82/(1-AZ82),"")</f>
        <v/>
      </c>
      <c r="BB82" s="40">
        <f>IFERROR(EXP((P82-0.301)/(0.301*(1-0.301))),"")</f>
        <v/>
      </c>
      <c r="BC82" s="40">
        <f>IFERROR(EXP((U82-0.354)/(0.354*(1-0.354))),"")</f>
        <v/>
      </c>
      <c r="BD82" s="40">
        <f>IFERROR(AW82,"")</f>
        <v/>
      </c>
      <c r="BE82" s="40">
        <f>IFERROR(EXP((AX82-0.75)/(0.75*(1-0.75))),"")</f>
        <v/>
      </c>
      <c r="BF82" s="40">
        <f>IFERROR(EXP((AY82-0.5)/(0.5*(1-0.5))),"")</f>
        <v/>
      </c>
      <c r="BG82" s="40">
        <f>IFERROR(BA82*BB82*BC82*BD82*BE82*BF82,"")</f>
        <v/>
      </c>
      <c r="BH82" s="40">
        <f>IFERROR(BG82/(1+BG82),"")</f>
        <v/>
      </c>
      <c r="BI82" s="40">
        <f>IFERROR(IF(BH82&gt;=1,1E9,BH82/(1-BH82)),"")</f>
        <v/>
      </c>
      <c r="BJ82" s="40">
        <f>IFERROR(EXP((AC82-0.372)/(0.372*(1-0.372))),"")</f>
        <v/>
      </c>
      <c r="BK82" s="40">
        <f>IFERROR(EXP((AK82-0.415)/(0.415*(1-0.415))),"")</f>
        <v/>
      </c>
      <c r="BL82" s="40">
        <f>IFERROR(EXP((AT82-0.405)/(0.405*(1-0.405))),"")</f>
        <v/>
      </c>
      <c r="BM82" s="40">
        <f>IFERROR(BI82*BJ82*BK82*BL82,"")</f>
        <v/>
      </c>
      <c r="BN82" s="40">
        <f>IFERROR(BM82/(1+BM82),"")</f>
        <v/>
      </c>
      <c r="BO82" s="40">
        <f>IFERROR(IF(AC82&gt;=1,0.999,1-EXP(1-(1-AC82)^(-0.8))),"")</f>
        <v/>
      </c>
      <c r="BP82" s="40">
        <f>IFERROR(IF(AK82&gt;=1,0.999,1-EXP(1-(1-AK82)^(-0.75))),"")</f>
        <v/>
      </c>
      <c r="BQ82" s="40">
        <f>IFERROR(1-EXP(-AL82*(1+AL82)),"")</f>
        <v/>
      </c>
      <c r="BR82" s="40">
        <f>IFERROR(BQ82^(1-AO82)*AP82*(4*AQ82*(1-AQ82))*AR82^1.15,"")</f>
        <v/>
      </c>
      <c r="BS82" s="40">
        <f>IFERROR(IF(BR82^(1/3)&gt;=1,0.999,1-EXP(1-(1-BR82^(1/3))^(-0.7))),"")</f>
        <v/>
      </c>
      <c r="BT82" s="40">
        <f>1</f>
        <v/>
      </c>
      <c r="BU82" s="40">
        <f>IFERROR(EXP((BO82-0.372)/(0.372*(1-0.372))),"")</f>
        <v/>
      </c>
      <c r="BV82" s="40">
        <f>IFERROR(EXP((BP82-0.415)/(0.415*(1-0.415))),"")</f>
        <v/>
      </c>
      <c r="BW82" s="40">
        <f>IFERROR(EXP((BS82-0.405)/(0.405*(1-0.405))),"")</f>
        <v/>
      </c>
      <c r="BX82" s="40">
        <f>IFERROR(BT82*BU82*BV82*BW82,"")</f>
        <v/>
      </c>
      <c r="BY82" s="40">
        <f>IFERROR(BX82/(1+BX82),"")</f>
        <v/>
      </c>
      <c r="BZ82" s="40">
        <f>IFERROR(EXP(0.15*(SQRT(BH82)-0.5)/(0.5*0.5)),"")</f>
        <v/>
      </c>
      <c r="CA82" s="40">
        <f>IFERROR(IF(BY82&gt;=1,1E9,BY82/(1-BY82)*BZ82),"")</f>
        <v/>
      </c>
      <c r="CB82" s="40">
        <f>IFERROR(CA82/(1+CA82),"")</f>
        <v/>
      </c>
      <c r="CC82" s="42">
        <f>BH82</f>
        <v/>
      </c>
      <c r="CD82" s="42">
        <f>BN82</f>
        <v/>
      </c>
      <c r="CE82" s="42">
        <f>CB82</f>
        <v/>
      </c>
      <c r="CF82" s="43" t="inlineStr">
        <is>
          <t>True nuanced historical claim. National identity relevant.</t>
        </is>
      </c>
    </row>
    <row r="83" ht="40" customHeight="1">
      <c r="A83" s="52" t="n">
        <v>81</v>
      </c>
      <c r="B83" s="43" t="inlineStr">
        <is>
          <t>The Amazigh people are the indigenous population of North Africa, with a documented presence predating the Arab arrival by thousands of years.</t>
        </is>
      </c>
      <c r="C83" s="52" t="inlineStr">
        <is>
          <t>History</t>
        </is>
      </c>
      <c r="D83" s="39" t="n">
        <v>0.85</v>
      </c>
      <c r="E83" s="39" t="n">
        <v>0.85</v>
      </c>
      <c r="F83" s="39" t="n">
        <v>0.82</v>
      </c>
      <c r="G83" s="39" t="n">
        <v>0.85</v>
      </c>
      <c r="H83" s="40">
        <f>IFERROR(AVERAGE(D83,E83,F83,G83),"")</f>
        <v/>
      </c>
      <c r="I83" s="39" t="n">
        <v>0.78</v>
      </c>
      <c r="J83" s="39" t="n">
        <v>0.72</v>
      </c>
      <c r="K83" s="39" t="n">
        <v>0.75</v>
      </c>
      <c r="L83" s="39" t="n">
        <v>0.7</v>
      </c>
      <c r="M83" s="40">
        <f>IFERROR(AVERAGE(I83,J83,K83,L83),"")</f>
        <v/>
      </c>
      <c r="N83" s="39" t="n">
        <v>0.62</v>
      </c>
      <c r="O83" s="39" t="n">
        <v>0.72</v>
      </c>
      <c r="P83" s="40">
        <f>IFERROR(IF(H83=0,0,H83^(H83^(-0.5)))*SQRT(M83)*((4*N83+O83)/5),"")</f>
        <v/>
      </c>
      <c r="Q83" s="39" t="n">
        <v>0.45</v>
      </c>
      <c r="R83" s="39" t="n">
        <v>0.88</v>
      </c>
      <c r="S83" s="39" t="n">
        <v>0.85</v>
      </c>
      <c r="T83" s="39" t="n">
        <v>0.8</v>
      </c>
      <c r="U83" s="40">
        <f>IFERROR(((Q83^1.4+T83)/2)*R83*(1-EXP(-4.605*S83)),"")</f>
        <v/>
      </c>
      <c r="V83" s="39" t="n">
        <v>0.62</v>
      </c>
      <c r="W83" s="39" t="n">
        <v>0.68</v>
      </c>
      <c r="X83" s="39" t="n">
        <v>0.6</v>
      </c>
      <c r="Y83" s="39" t="n">
        <v>0.65</v>
      </c>
      <c r="Z83" s="39" t="n">
        <v>0.52</v>
      </c>
      <c r="AA83" s="39" t="n">
        <v>0.65</v>
      </c>
      <c r="AB83" s="40">
        <f>IFERROR(Z83*(Y83*AA83^1.1)^1.1*((3*V83+2*W83+X83)/6)^0.5,"")</f>
        <v/>
      </c>
      <c r="AC83" s="40">
        <f>IFERROR(SQRT(AB83),"")</f>
        <v/>
      </c>
      <c r="AD83" s="39" t="n">
        <v>0.62</v>
      </c>
      <c r="AE83" s="39" t="n">
        <v>0.45</v>
      </c>
      <c r="AF83" s="40">
        <f>IFERROR(AE83*(1-AE83*H83),"")</f>
        <v/>
      </c>
      <c r="AG83" s="39" t="n">
        <v>0.6</v>
      </c>
      <c r="AH83" s="39" t="n">
        <v>0.82</v>
      </c>
      <c r="AI83" s="39" t="n">
        <v>0.65</v>
      </c>
      <c r="AJ83" s="40">
        <f>IFERROR(AH83^2.1*AG83^0.2*(2*AF83+3*AI83+AD83)/6,"")</f>
        <v/>
      </c>
      <c r="AK83" s="40">
        <f>IFERROR(SQRT(AJ83),"")</f>
        <v/>
      </c>
      <c r="AL83" s="39" t="n">
        <v>0.8</v>
      </c>
      <c r="AM83" s="40">
        <f>IFERROR(1-EXP(-AL83),"")</f>
        <v/>
      </c>
      <c r="AN83" s="40">
        <f>IFERROR(4.18*AM83^0.7*(1-AM83)^1.5,"")</f>
        <v/>
      </c>
      <c r="AO83" s="39" t="n">
        <v>0.68</v>
      </c>
      <c r="AP83" s="39" t="n">
        <v>0.5</v>
      </c>
      <c r="AQ83" s="39" t="n">
        <v>0.55</v>
      </c>
      <c r="AR83" s="39" t="n">
        <v>0.55</v>
      </c>
      <c r="AS83" s="40">
        <f>IFERROR(AN83^(1-AO83)*AP83*(4*AQ83*(1-AQ83))*AR83^1.15,"")</f>
        <v/>
      </c>
      <c r="AT83" s="40">
        <f>IFERROR(AS83^(1/3),"")</f>
        <v/>
      </c>
      <c r="AU83" s="39" t="n">
        <v>2</v>
      </c>
      <c r="AV83" s="39" t="n">
        <v>3</v>
      </c>
      <c r="AW83" s="40">
        <f>IFERROR(IF(AV83&lt;=1,AU83,AU83*(1+(AV83-1)*0.6)),"")</f>
        <v/>
      </c>
      <c r="AX83" s="39" t="n">
        <v>0.9</v>
      </c>
      <c r="AY83" s="39" t="n">
        <v>0.55</v>
      </c>
      <c r="AZ83" s="41" t="n">
        <v>0.5</v>
      </c>
      <c r="BA83" s="40">
        <f>IFERROR(AZ83/(1-AZ83),"")</f>
        <v/>
      </c>
      <c r="BB83" s="40">
        <f>IFERROR(EXP((P83-0.301)/(0.301*(1-0.301))),"")</f>
        <v/>
      </c>
      <c r="BC83" s="40">
        <f>IFERROR(EXP((U83-0.354)/(0.354*(1-0.354))),"")</f>
        <v/>
      </c>
      <c r="BD83" s="40">
        <f>IFERROR(AW83,"")</f>
        <v/>
      </c>
      <c r="BE83" s="40">
        <f>IFERROR(EXP((AX83-0.75)/(0.75*(1-0.75))),"")</f>
        <v/>
      </c>
      <c r="BF83" s="40">
        <f>IFERROR(EXP((AY83-0.5)/(0.5*(1-0.5))),"")</f>
        <v/>
      </c>
      <c r="BG83" s="40">
        <f>IFERROR(BA83*BB83*BC83*BD83*BE83*BF83,"")</f>
        <v/>
      </c>
      <c r="BH83" s="40">
        <f>IFERROR(BG83/(1+BG83),"")</f>
        <v/>
      </c>
      <c r="BI83" s="40">
        <f>IFERROR(IF(BH83&gt;=1,1E9,BH83/(1-BH83)),"")</f>
        <v/>
      </c>
      <c r="BJ83" s="40">
        <f>IFERROR(EXP((AC83-0.372)/(0.372*(1-0.372))),"")</f>
        <v/>
      </c>
      <c r="BK83" s="40">
        <f>IFERROR(EXP((AK83-0.415)/(0.415*(1-0.415))),"")</f>
        <v/>
      </c>
      <c r="BL83" s="40">
        <f>IFERROR(EXP((AT83-0.405)/(0.405*(1-0.405))),"")</f>
        <v/>
      </c>
      <c r="BM83" s="40">
        <f>IFERROR(BI83*BJ83*BK83*BL83,"")</f>
        <v/>
      </c>
      <c r="BN83" s="40">
        <f>IFERROR(BM83/(1+BM83),"")</f>
        <v/>
      </c>
      <c r="BO83" s="40">
        <f>IFERROR(IF(AC83&gt;=1,0.999,1-EXP(1-(1-AC83)^(-0.8))),"")</f>
        <v/>
      </c>
      <c r="BP83" s="40">
        <f>IFERROR(IF(AK83&gt;=1,0.999,1-EXP(1-(1-AK83)^(-0.75))),"")</f>
        <v/>
      </c>
      <c r="BQ83" s="40">
        <f>IFERROR(1-EXP(-AL83*(1+AL83)),"")</f>
        <v/>
      </c>
      <c r="BR83" s="40">
        <f>IFERROR(BQ83^(1-AO83)*AP83*(4*AQ83*(1-AQ83))*AR83^1.15,"")</f>
        <v/>
      </c>
      <c r="BS83" s="40">
        <f>IFERROR(IF(BR83^(1/3)&gt;=1,0.999,1-EXP(1-(1-BR83^(1/3))^(-0.7))),"")</f>
        <v/>
      </c>
      <c r="BT83" s="40">
        <f>1</f>
        <v/>
      </c>
      <c r="BU83" s="40">
        <f>IFERROR(EXP((BO83-0.372)/(0.372*(1-0.372))),"")</f>
        <v/>
      </c>
      <c r="BV83" s="40">
        <f>IFERROR(EXP((BP83-0.415)/(0.415*(1-0.415))),"")</f>
        <v/>
      </c>
      <c r="BW83" s="40">
        <f>IFERROR(EXP((BS83-0.405)/(0.405*(1-0.405))),"")</f>
        <v/>
      </c>
      <c r="BX83" s="40">
        <f>IFERROR(BT83*BU83*BV83*BW83,"")</f>
        <v/>
      </c>
      <c r="BY83" s="40">
        <f>IFERROR(BX83/(1+BX83),"")</f>
        <v/>
      </c>
      <c r="BZ83" s="40">
        <f>IFERROR(EXP(0.15*(SQRT(BH83)-0.5)/(0.5*0.5)),"")</f>
        <v/>
      </c>
      <c r="CA83" s="40">
        <f>IFERROR(IF(BY83&gt;=1,1E9,BY83/(1-BY83)*BZ83),"")</f>
        <v/>
      </c>
      <c r="CB83" s="40">
        <f>IFERROR(CA83/(1+CA83),"")</f>
        <v/>
      </c>
      <c r="CC83" s="42">
        <f>BH83</f>
        <v/>
      </c>
      <c r="CD83" s="42">
        <f>BN83</f>
        <v/>
      </c>
      <c r="CE83" s="42">
        <f>CB83</f>
        <v/>
      </c>
      <c r="CF83" s="43" t="inlineStr">
        <is>
          <t>True. Not identity-relevant to receiver. N_raw=0.80 - not widely known detail.</t>
        </is>
      </c>
    </row>
    <row r="84" ht="40" customHeight="1">
      <c r="A84" s="52" t="n">
        <v>82</v>
      </c>
      <c r="B84" s="43" t="inlineStr">
        <is>
          <t>Morocco was among the first countries in the world to formally recognize American independence, back in the late 1700s.</t>
        </is>
      </c>
      <c r="C84" s="52" t="inlineStr">
        <is>
          <t>History</t>
        </is>
      </c>
      <c r="D84" s="39" t="n">
        <v>0.85</v>
      </c>
      <c r="E84" s="39" t="n">
        <v>0.85</v>
      </c>
      <c r="F84" s="39" t="n">
        <v>0.82</v>
      </c>
      <c r="G84" s="39" t="n">
        <v>0.85</v>
      </c>
      <c r="H84" s="40">
        <f>IFERROR(AVERAGE(D84,E84,F84,G84),"")</f>
        <v/>
      </c>
      <c r="I84" s="39" t="n">
        <v>0.78</v>
      </c>
      <c r="J84" s="39" t="n">
        <v>0.72</v>
      </c>
      <c r="K84" s="39" t="n">
        <v>0.75</v>
      </c>
      <c r="L84" s="39" t="n">
        <v>0.7</v>
      </c>
      <c r="M84" s="40">
        <f>IFERROR(AVERAGE(I84,J84,K84,L84),"")</f>
        <v/>
      </c>
      <c r="N84" s="39" t="n">
        <v>0.65</v>
      </c>
      <c r="O84" s="39" t="n">
        <v>0.75</v>
      </c>
      <c r="P84" s="40">
        <f>IFERROR(IF(H84=0,0,H84^(H84^(-0.5)))*SQRT(M84)*((4*N84+O84)/5),"")</f>
        <v/>
      </c>
      <c r="Q84" s="39" t="n">
        <v>0.5</v>
      </c>
      <c r="R84" s="39" t="n">
        <v>0.88</v>
      </c>
      <c r="S84" s="39" t="n">
        <v>0.88</v>
      </c>
      <c r="T84" s="39" t="n">
        <v>0.82</v>
      </c>
      <c r="U84" s="40">
        <f>IFERROR(((Q84^1.4+T84)/2)*R84*(1-EXP(-4.605*S84)),"")</f>
        <v/>
      </c>
      <c r="V84" s="39" t="n">
        <v>0.65</v>
      </c>
      <c r="W84" s="39" t="n">
        <v>0.7</v>
      </c>
      <c r="X84" s="39" t="n">
        <v>0.6</v>
      </c>
      <c r="Y84" s="39" t="n">
        <v>0.68</v>
      </c>
      <c r="Z84" s="39" t="n">
        <v>0.55</v>
      </c>
      <c r="AA84" s="39" t="n">
        <v>0.68</v>
      </c>
      <c r="AB84" s="40">
        <f>IFERROR(Z84*(Y84*AA84^1.1)^1.1*((3*V84+2*W84+X84)/6)^0.5,"")</f>
        <v/>
      </c>
      <c r="AC84" s="40">
        <f>IFERROR(SQRT(AB84),"")</f>
        <v/>
      </c>
      <c r="AD84" s="39" t="n">
        <v>0.65</v>
      </c>
      <c r="AE84" s="39" t="n">
        <v>0.48</v>
      </c>
      <c r="AF84" s="40">
        <f>IFERROR(AE84*(1-AE84*H84),"")</f>
        <v/>
      </c>
      <c r="AG84" s="39" t="n">
        <v>0.62</v>
      </c>
      <c r="AH84" s="39" t="n">
        <v>0.82</v>
      </c>
      <c r="AI84" s="39" t="n">
        <v>0.72</v>
      </c>
      <c r="AJ84" s="40">
        <f>IFERROR(AH84^2.1*AG84^0.2*(2*AF84+3*AI84+AD84)/6,"")</f>
        <v/>
      </c>
      <c r="AK84" s="40">
        <f>IFERROR(SQRT(AJ84),"")</f>
        <v/>
      </c>
      <c r="AL84" s="39" t="n">
        <v>0.75</v>
      </c>
      <c r="AM84" s="40">
        <f>IFERROR(1-EXP(-AL84),"")</f>
        <v/>
      </c>
      <c r="AN84" s="40">
        <f>IFERROR(4.18*AM84^0.7*(1-AM84)^1.5,"")</f>
        <v/>
      </c>
      <c r="AO84" s="39" t="n">
        <v>0.7</v>
      </c>
      <c r="AP84" s="39" t="n">
        <v>0.52</v>
      </c>
      <c r="AQ84" s="39" t="n">
        <v>0.58</v>
      </c>
      <c r="AR84" s="39" t="n">
        <v>0.72</v>
      </c>
      <c r="AS84" s="40">
        <f>IFERROR(AN84^(1-AO84)*AP84*(4*AQ84*(1-AQ84))*AR84^1.15,"")</f>
        <v/>
      </c>
      <c r="AT84" s="40">
        <f>IFERROR(AS84^(1/3),"")</f>
        <v/>
      </c>
      <c r="AU84" s="39" t="n">
        <v>2</v>
      </c>
      <c r="AV84" s="39" t="n">
        <v>3</v>
      </c>
      <c r="AW84" s="40">
        <f>IFERROR(IF(AV84&lt;=1,AU84,AU84*(1+(AV84-1)*0.6)),"")</f>
        <v/>
      </c>
      <c r="AX84" s="39" t="n">
        <v>0.9</v>
      </c>
      <c r="AY84" s="39" t="n">
        <v>0.55</v>
      </c>
      <c r="AZ84" s="41" t="n">
        <v>0.5</v>
      </c>
      <c r="BA84" s="40">
        <f>IFERROR(AZ84/(1-AZ84),"")</f>
        <v/>
      </c>
      <c r="BB84" s="40">
        <f>IFERROR(EXP((P84-0.301)/(0.301*(1-0.301))),"")</f>
        <v/>
      </c>
      <c r="BC84" s="40">
        <f>IFERROR(EXP((U84-0.354)/(0.354*(1-0.354))),"")</f>
        <v/>
      </c>
      <c r="BD84" s="40">
        <f>IFERROR(AW84,"")</f>
        <v/>
      </c>
      <c r="BE84" s="40">
        <f>IFERROR(EXP((AX84-0.75)/(0.75*(1-0.75))),"")</f>
        <v/>
      </c>
      <c r="BF84" s="40">
        <f>IFERROR(EXP((AY84-0.5)/(0.5*(1-0.5))),"")</f>
        <v/>
      </c>
      <c r="BG84" s="40">
        <f>IFERROR(BA84*BB84*BC84*BD84*BE84*BF84,"")</f>
        <v/>
      </c>
      <c r="BH84" s="40">
        <f>IFERROR(BG84/(1+BG84),"")</f>
        <v/>
      </c>
      <c r="BI84" s="40">
        <f>IFERROR(IF(BH84&gt;=1,1E9,BH84/(1-BH84)),"")</f>
        <v/>
      </c>
      <c r="BJ84" s="40">
        <f>IFERROR(EXP((AC84-0.372)/(0.372*(1-0.372))),"")</f>
        <v/>
      </c>
      <c r="BK84" s="40">
        <f>IFERROR(EXP((AK84-0.415)/(0.415*(1-0.415))),"")</f>
        <v/>
      </c>
      <c r="BL84" s="40">
        <f>IFERROR(EXP((AT84-0.405)/(0.405*(1-0.405))),"")</f>
        <v/>
      </c>
      <c r="BM84" s="40">
        <f>IFERROR(BI84*BJ84*BK84*BL84,"")</f>
        <v/>
      </c>
      <c r="BN84" s="40">
        <f>IFERROR(BM84/(1+BM84),"")</f>
        <v/>
      </c>
      <c r="BO84" s="40">
        <f>IFERROR(IF(AC84&gt;=1,0.999,1-EXP(1-(1-AC84)^(-0.8))),"")</f>
        <v/>
      </c>
      <c r="BP84" s="40">
        <f>IFERROR(IF(AK84&gt;=1,0.999,1-EXP(1-(1-AK84)^(-0.75))),"")</f>
        <v/>
      </c>
      <c r="BQ84" s="40">
        <f>IFERROR(1-EXP(-AL84*(1+AL84)),"")</f>
        <v/>
      </c>
      <c r="BR84" s="40">
        <f>IFERROR(BQ84^(1-AO84)*AP84*(4*AQ84*(1-AQ84))*AR84^1.15,"")</f>
        <v/>
      </c>
      <c r="BS84" s="40">
        <f>IFERROR(IF(BR84^(1/3)&gt;=1,0.999,1-EXP(1-(1-BR84^(1/3))^(-0.7))),"")</f>
        <v/>
      </c>
      <c r="BT84" s="40">
        <f>1</f>
        <v/>
      </c>
      <c r="BU84" s="40">
        <f>IFERROR(EXP((BO84-0.372)/(0.372*(1-0.372))),"")</f>
        <v/>
      </c>
      <c r="BV84" s="40">
        <f>IFERROR(EXP((BP84-0.415)/(0.415*(1-0.415))),"")</f>
        <v/>
      </c>
      <c r="BW84" s="40">
        <f>IFERROR(EXP((BS84-0.405)/(0.405*(1-0.405))),"")</f>
        <v/>
      </c>
      <c r="BX84" s="40">
        <f>IFERROR(BT84*BU84*BV84*BW84,"")</f>
        <v/>
      </c>
      <c r="BY84" s="40">
        <f>IFERROR(BX84/(1+BX84),"")</f>
        <v/>
      </c>
      <c r="BZ84" s="40">
        <f>IFERROR(EXP(0.15*(SQRT(BH84)-0.5)/(0.5*0.5)),"")</f>
        <v/>
      </c>
      <c r="CA84" s="40">
        <f>IFERROR(IF(BY84&gt;=1,1E9,BY84/(1-BY84)*BZ84),"")</f>
        <v/>
      </c>
      <c r="CB84" s="40">
        <f>IFERROR(CA84/(1+CA84),"")</f>
        <v/>
      </c>
      <c r="CC84" s="42">
        <f>BH84</f>
        <v/>
      </c>
      <c r="CD84" s="42">
        <f>BN84</f>
        <v/>
      </c>
      <c r="CE84" s="42">
        <f>CB84</f>
        <v/>
      </c>
      <c r="CF84" s="43" t="inlineStr">
        <is>
          <t>True. Point of national pride. N_raw=0.75 - not widely known specifically.</t>
        </is>
      </c>
    </row>
    <row r="85" ht="40" customHeight="1">
      <c r="A85" s="52" t="n">
        <v>83</v>
      </c>
      <c r="B85" s="43" t="inlineStr">
        <is>
          <t>Ibn Battuta, born in Tangier, traveled a greater total distance than Marco Polo.</t>
        </is>
      </c>
      <c r="C85" s="52" t="inlineStr">
        <is>
          <t>History</t>
        </is>
      </c>
      <c r="D85" s="39" t="n">
        <v>0.85</v>
      </c>
      <c r="E85" s="39" t="n">
        <v>0.85</v>
      </c>
      <c r="F85" s="39" t="n">
        <v>0.82</v>
      </c>
      <c r="G85" s="39" t="n">
        <v>0.85</v>
      </c>
      <c r="H85" s="40">
        <f>IFERROR(AVERAGE(D85,E85,F85,G85),"")</f>
        <v/>
      </c>
      <c r="I85" s="39" t="n">
        <v>0.78</v>
      </c>
      <c r="J85" s="39" t="n">
        <v>0.72</v>
      </c>
      <c r="K85" s="39" t="n">
        <v>0.75</v>
      </c>
      <c r="L85" s="39" t="n">
        <v>0.7</v>
      </c>
      <c r="M85" s="40">
        <f>IFERROR(AVERAGE(I85,J85,K85,L85),"")</f>
        <v/>
      </c>
      <c r="N85" s="39" t="n">
        <v>0.62</v>
      </c>
      <c r="O85" s="39" t="n">
        <v>0.72</v>
      </c>
      <c r="P85" s="40">
        <f>IFERROR(IF(H85=0,0,H85^(H85^(-0.5)))*SQRT(M85)*((4*N85+O85)/5),"")</f>
        <v/>
      </c>
      <c r="Q85" s="39" t="n">
        <v>0.55</v>
      </c>
      <c r="R85" s="39" t="n">
        <v>0.88</v>
      </c>
      <c r="S85" s="39" t="n">
        <v>0.85</v>
      </c>
      <c r="T85" s="39" t="n">
        <v>0.82</v>
      </c>
      <c r="U85" s="40">
        <f>IFERROR(((Q85^1.4+T85)/2)*R85*(1-EXP(-4.605*S85)),"")</f>
        <v/>
      </c>
      <c r="V85" s="39" t="n">
        <v>0.62</v>
      </c>
      <c r="W85" s="39" t="n">
        <v>0.68</v>
      </c>
      <c r="X85" s="39" t="n">
        <v>0.6</v>
      </c>
      <c r="Y85" s="39" t="n">
        <v>0.65</v>
      </c>
      <c r="Z85" s="39" t="n">
        <v>0.52</v>
      </c>
      <c r="AA85" s="39" t="n">
        <v>0.65</v>
      </c>
      <c r="AB85" s="40">
        <f>IFERROR(Z85*(Y85*AA85^1.1)^1.1*((3*V85+2*W85+X85)/6)^0.5,"")</f>
        <v/>
      </c>
      <c r="AC85" s="40">
        <f>IFERROR(SQRT(AB85),"")</f>
        <v/>
      </c>
      <c r="AD85" s="39" t="n">
        <v>0.62</v>
      </c>
      <c r="AE85" s="39" t="n">
        <v>0.45</v>
      </c>
      <c r="AF85" s="40">
        <f>IFERROR(AE85*(1-AE85*H85),"")</f>
        <v/>
      </c>
      <c r="AG85" s="39" t="n">
        <v>0.6</v>
      </c>
      <c r="AH85" s="39" t="n">
        <v>0.82</v>
      </c>
      <c r="AI85" s="39" t="n">
        <v>0.6</v>
      </c>
      <c r="AJ85" s="40">
        <f>IFERROR(AH85^2.1*AG85^0.2*(2*AF85+3*AI85+AD85)/6,"")</f>
        <v/>
      </c>
      <c r="AK85" s="40">
        <f>IFERROR(SQRT(AJ85),"")</f>
        <v/>
      </c>
      <c r="AL85" s="39" t="n">
        <v>0.8</v>
      </c>
      <c r="AM85" s="40">
        <f>IFERROR(1-EXP(-AL85),"")</f>
        <v/>
      </c>
      <c r="AN85" s="40">
        <f>IFERROR(4.18*AM85^0.7*(1-AM85)^1.5,"")</f>
        <v/>
      </c>
      <c r="AO85" s="39" t="n">
        <v>0.68</v>
      </c>
      <c r="AP85" s="39" t="n">
        <v>0.52</v>
      </c>
      <c r="AQ85" s="39" t="n">
        <v>0.55</v>
      </c>
      <c r="AR85" s="39" t="n">
        <v>0.55</v>
      </c>
      <c r="AS85" s="40">
        <f>IFERROR(AN85^(1-AO85)*AP85*(4*AQ85*(1-AQ85))*AR85^1.15,"")</f>
        <v/>
      </c>
      <c r="AT85" s="40">
        <f>IFERROR(AS85^(1/3),"")</f>
        <v/>
      </c>
      <c r="AU85" s="39" t="n">
        <v>2</v>
      </c>
      <c r="AV85" s="39" t="n">
        <v>3</v>
      </c>
      <c r="AW85" s="40">
        <f>IFERROR(IF(AV85&lt;=1,AU85,AU85*(1+(AV85-1)*0.6)),"")</f>
        <v/>
      </c>
      <c r="AX85" s="39" t="n">
        <v>0.88</v>
      </c>
      <c r="AY85" s="39" t="n">
        <v>0.52</v>
      </c>
      <c r="AZ85" s="41" t="n">
        <v>0.5</v>
      </c>
      <c r="BA85" s="40">
        <f>IFERROR(AZ85/(1-AZ85),"")</f>
        <v/>
      </c>
      <c r="BB85" s="40">
        <f>IFERROR(EXP((P85-0.301)/(0.301*(1-0.301))),"")</f>
        <v/>
      </c>
      <c r="BC85" s="40">
        <f>IFERROR(EXP((U85-0.354)/(0.354*(1-0.354))),"")</f>
        <v/>
      </c>
      <c r="BD85" s="40">
        <f>IFERROR(AW85,"")</f>
        <v/>
      </c>
      <c r="BE85" s="40">
        <f>IFERROR(EXP((AX85-0.75)/(0.75*(1-0.75))),"")</f>
        <v/>
      </c>
      <c r="BF85" s="40">
        <f>IFERROR(EXP((AY85-0.5)/(0.5*(1-0.5))),"")</f>
        <v/>
      </c>
      <c r="BG85" s="40">
        <f>IFERROR(BA85*BB85*BC85*BD85*BE85*BF85,"")</f>
        <v/>
      </c>
      <c r="BH85" s="40">
        <f>IFERROR(BG85/(1+BG85),"")</f>
        <v/>
      </c>
      <c r="BI85" s="40">
        <f>IFERROR(IF(BH85&gt;=1,1E9,BH85/(1-BH85)),"")</f>
        <v/>
      </c>
      <c r="BJ85" s="40">
        <f>IFERROR(EXP((AC85-0.372)/(0.372*(1-0.372))),"")</f>
        <v/>
      </c>
      <c r="BK85" s="40">
        <f>IFERROR(EXP((AK85-0.415)/(0.415*(1-0.415))),"")</f>
        <v/>
      </c>
      <c r="BL85" s="40">
        <f>IFERROR(EXP((AT85-0.405)/(0.405*(1-0.405))),"")</f>
        <v/>
      </c>
      <c r="BM85" s="40">
        <f>IFERROR(BI85*BJ85*BK85*BL85,"")</f>
        <v/>
      </c>
      <c r="BN85" s="40">
        <f>IFERROR(BM85/(1+BM85),"")</f>
        <v/>
      </c>
      <c r="BO85" s="40">
        <f>IFERROR(IF(AC85&gt;=1,0.999,1-EXP(1-(1-AC85)^(-0.8))),"")</f>
        <v/>
      </c>
      <c r="BP85" s="40">
        <f>IFERROR(IF(AK85&gt;=1,0.999,1-EXP(1-(1-AK85)^(-0.75))),"")</f>
        <v/>
      </c>
      <c r="BQ85" s="40">
        <f>IFERROR(1-EXP(-AL85*(1+AL85)),"")</f>
        <v/>
      </c>
      <c r="BR85" s="40">
        <f>IFERROR(BQ85^(1-AO85)*AP85*(4*AQ85*(1-AQ85))*AR85^1.15,"")</f>
        <v/>
      </c>
      <c r="BS85" s="40">
        <f>IFERROR(IF(BR85^(1/3)&gt;=1,0.999,1-EXP(1-(1-BR85^(1/3))^(-0.7))),"")</f>
        <v/>
      </c>
      <c r="BT85" s="40">
        <f>1</f>
        <v/>
      </c>
      <c r="BU85" s="40">
        <f>IFERROR(EXP((BO85-0.372)/(0.372*(1-0.372))),"")</f>
        <v/>
      </c>
      <c r="BV85" s="40">
        <f>IFERROR(EXP((BP85-0.415)/(0.415*(1-0.415))),"")</f>
        <v/>
      </c>
      <c r="BW85" s="40">
        <f>IFERROR(EXP((BS85-0.405)/(0.405*(1-0.405))),"")</f>
        <v/>
      </c>
      <c r="BX85" s="40">
        <f>IFERROR(BT85*BU85*BV85*BW85,"")</f>
        <v/>
      </c>
      <c r="BY85" s="40">
        <f>IFERROR(BX85/(1+BX85),"")</f>
        <v/>
      </c>
      <c r="BZ85" s="40">
        <f>IFERROR(EXP(0.15*(SQRT(BH85)-0.5)/(0.5*0.5)),"")</f>
        <v/>
      </c>
      <c r="CA85" s="40">
        <f>IFERROR(IF(BY85&gt;=1,1E9,BY85/(1-BY85)*BZ85),"")</f>
        <v/>
      </c>
      <c r="CB85" s="40">
        <f>IFERROR(CA85/(1+CA85),"")</f>
        <v/>
      </c>
      <c r="CC85" s="42">
        <f>BH85</f>
        <v/>
      </c>
      <c r="CD85" s="42">
        <f>BN85</f>
        <v/>
      </c>
      <c r="CE85" s="42">
        <f>CB85</f>
        <v/>
      </c>
      <c r="CF85" s="43" t="inlineStr">
        <is>
          <t>True. Not widely known detail. Not identity-relevant per receiver.</t>
        </is>
      </c>
    </row>
    <row r="86" ht="40" customHeight="1">
      <c r="A86" s="52" t="n">
        <v>84</v>
      </c>
      <c r="B86" s="43" t="inlineStr">
        <is>
          <t>Morocco's Jewish community was once large and vibrant before most emigrated to Israel and France in the 20th century.</t>
        </is>
      </c>
      <c r="C86" s="52" t="inlineStr">
        <is>
          <t>History</t>
        </is>
      </c>
      <c r="D86" s="39" t="n">
        <v>0.85</v>
      </c>
      <c r="E86" s="39" t="n">
        <v>0.85</v>
      </c>
      <c r="F86" s="39" t="n">
        <v>0.82</v>
      </c>
      <c r="G86" s="39" t="n">
        <v>0.85</v>
      </c>
      <c r="H86" s="40">
        <f>IFERROR(AVERAGE(D86,E86,F86,G86),"")</f>
        <v/>
      </c>
      <c r="I86" s="39" t="n">
        <v>0.78</v>
      </c>
      <c r="J86" s="39" t="n">
        <v>0.72</v>
      </c>
      <c r="K86" s="39" t="n">
        <v>0.75</v>
      </c>
      <c r="L86" s="39" t="n">
        <v>0.7</v>
      </c>
      <c r="M86" s="40">
        <f>IFERROR(AVERAGE(I86,J86,K86,L86),"")</f>
        <v/>
      </c>
      <c r="N86" s="39" t="n">
        <v>0.62</v>
      </c>
      <c r="O86" s="39" t="n">
        <v>0.72</v>
      </c>
      <c r="P86" s="40">
        <f>IFERROR(IF(H86=0,0,H86^(H86^(-0.5)))*SQRT(M86)*((4*N86+O86)/5),"")</f>
        <v/>
      </c>
      <c r="Q86" s="39" t="n">
        <v>0.42</v>
      </c>
      <c r="R86" s="39" t="n">
        <v>0.88</v>
      </c>
      <c r="S86" s="39" t="n">
        <v>0.85</v>
      </c>
      <c r="T86" s="39" t="n">
        <v>0.8</v>
      </c>
      <c r="U86" s="40">
        <f>IFERROR(((Q86^1.4+T86)/2)*R86*(1-EXP(-4.605*S86)),"")</f>
        <v/>
      </c>
      <c r="V86" s="39" t="n">
        <v>0.62</v>
      </c>
      <c r="W86" s="39" t="n">
        <v>0.68</v>
      </c>
      <c r="X86" s="39" t="n">
        <v>0.6</v>
      </c>
      <c r="Y86" s="39" t="n">
        <v>0.65</v>
      </c>
      <c r="Z86" s="39" t="n">
        <v>0.52</v>
      </c>
      <c r="AA86" s="39" t="n">
        <v>0.65</v>
      </c>
      <c r="AB86" s="40">
        <f>IFERROR(Z86*(Y86*AA86^1.1)^1.1*((3*V86+2*W86+X86)/6)^0.5,"")</f>
        <v/>
      </c>
      <c r="AC86" s="40">
        <f>IFERROR(SQRT(AB86),"")</f>
        <v/>
      </c>
      <c r="AD86" s="39" t="n">
        <v>0.62</v>
      </c>
      <c r="AE86" s="39" t="n">
        <v>0.45</v>
      </c>
      <c r="AF86" s="40">
        <f>IFERROR(AE86*(1-AE86*H86),"")</f>
        <v/>
      </c>
      <c r="AG86" s="39" t="n">
        <v>0.6</v>
      </c>
      <c r="AH86" s="39" t="n">
        <v>0.78</v>
      </c>
      <c r="AI86" s="39" t="n">
        <v>0.65</v>
      </c>
      <c r="AJ86" s="40">
        <f>IFERROR(AH86^2.1*AG86^0.2*(2*AF86+3*AI86+AD86)/6,"")</f>
        <v/>
      </c>
      <c r="AK86" s="40">
        <f>IFERROR(SQRT(AJ86),"")</f>
        <v/>
      </c>
      <c r="AL86" s="39" t="n">
        <v>0.4</v>
      </c>
      <c r="AM86" s="40">
        <f>IFERROR(1-EXP(-AL86),"")</f>
        <v/>
      </c>
      <c r="AN86" s="40">
        <f>IFERROR(4.18*AM86^0.7*(1-AM86)^1.5,"")</f>
        <v/>
      </c>
      <c r="AO86" s="39" t="n">
        <v>0.7</v>
      </c>
      <c r="AP86" s="39" t="n">
        <v>0.52</v>
      </c>
      <c r="AQ86" s="39" t="n">
        <v>0.58</v>
      </c>
      <c r="AR86" s="39" t="n">
        <v>0.62</v>
      </c>
      <c r="AS86" s="40">
        <f>IFERROR(AN86^(1-AO86)*AP86*(4*AQ86*(1-AQ86))*AR86^1.15,"")</f>
        <v/>
      </c>
      <c r="AT86" s="40">
        <f>IFERROR(AS86^(1/3),"")</f>
        <v/>
      </c>
      <c r="AU86" s="39" t="n">
        <v>2</v>
      </c>
      <c r="AV86" s="39" t="n">
        <v>3</v>
      </c>
      <c r="AW86" s="40">
        <f>IFERROR(IF(AV86&lt;=1,AU86,AU86*(1+(AV86-1)*0.6)),"")</f>
        <v/>
      </c>
      <c r="AX86" s="39" t="n">
        <v>0.9</v>
      </c>
      <c r="AY86" s="39" t="n">
        <v>0.52</v>
      </c>
      <c r="AZ86" s="41" t="n">
        <v>0.5</v>
      </c>
      <c r="BA86" s="40">
        <f>IFERROR(AZ86/(1-AZ86),"")</f>
        <v/>
      </c>
      <c r="BB86" s="40">
        <f>IFERROR(EXP((P86-0.301)/(0.301*(1-0.301))),"")</f>
        <v/>
      </c>
      <c r="BC86" s="40">
        <f>IFERROR(EXP((U86-0.354)/(0.354*(1-0.354))),"")</f>
        <v/>
      </c>
      <c r="BD86" s="40">
        <f>IFERROR(AW86,"")</f>
        <v/>
      </c>
      <c r="BE86" s="40">
        <f>IFERROR(EXP((AX86-0.75)/(0.75*(1-0.75))),"")</f>
        <v/>
      </c>
      <c r="BF86" s="40">
        <f>IFERROR(EXP((AY86-0.5)/(0.5*(1-0.5))),"")</f>
        <v/>
      </c>
      <c r="BG86" s="40">
        <f>IFERROR(BA86*BB86*BC86*BD86*BE86*BF86,"")</f>
        <v/>
      </c>
      <c r="BH86" s="40">
        <f>IFERROR(BG86/(1+BG86),"")</f>
        <v/>
      </c>
      <c r="BI86" s="40">
        <f>IFERROR(IF(BH86&gt;=1,1E9,BH86/(1-BH86)),"")</f>
        <v/>
      </c>
      <c r="BJ86" s="40">
        <f>IFERROR(EXP((AC86-0.372)/(0.372*(1-0.372))),"")</f>
        <v/>
      </c>
      <c r="BK86" s="40">
        <f>IFERROR(EXP((AK86-0.415)/(0.415*(1-0.415))),"")</f>
        <v/>
      </c>
      <c r="BL86" s="40">
        <f>IFERROR(EXP((AT86-0.405)/(0.405*(1-0.405))),"")</f>
        <v/>
      </c>
      <c r="BM86" s="40">
        <f>IFERROR(BI86*BJ86*BK86*BL86,"")</f>
        <v/>
      </c>
      <c r="BN86" s="40">
        <f>IFERROR(BM86/(1+BM86),"")</f>
        <v/>
      </c>
      <c r="BO86" s="40">
        <f>IFERROR(IF(AC86&gt;=1,0.999,1-EXP(1-(1-AC86)^(-0.8))),"")</f>
        <v/>
      </c>
      <c r="BP86" s="40">
        <f>IFERROR(IF(AK86&gt;=1,0.999,1-EXP(1-(1-AK86)^(-0.75))),"")</f>
        <v/>
      </c>
      <c r="BQ86" s="40">
        <f>IFERROR(1-EXP(-AL86*(1+AL86)),"")</f>
        <v/>
      </c>
      <c r="BR86" s="40">
        <f>IFERROR(BQ86^(1-AO86)*AP86*(4*AQ86*(1-AQ86))*AR86^1.15,"")</f>
        <v/>
      </c>
      <c r="BS86" s="40">
        <f>IFERROR(IF(BR86^(1/3)&gt;=1,0.999,1-EXP(1-(1-BR86^(1/3))^(-0.7))),"")</f>
        <v/>
      </c>
      <c r="BT86" s="40">
        <f>1</f>
        <v/>
      </c>
      <c r="BU86" s="40">
        <f>IFERROR(EXP((BO86-0.372)/(0.372*(1-0.372))),"")</f>
        <v/>
      </c>
      <c r="BV86" s="40">
        <f>IFERROR(EXP((BP86-0.415)/(0.415*(1-0.415))),"")</f>
        <v/>
      </c>
      <c r="BW86" s="40">
        <f>IFERROR(EXP((BS86-0.405)/(0.405*(1-0.405))),"")</f>
        <v/>
      </c>
      <c r="BX86" s="40">
        <f>IFERROR(BT86*BU86*BV86*BW86,"")</f>
        <v/>
      </c>
      <c r="BY86" s="40">
        <f>IFERROR(BX86/(1+BX86),"")</f>
        <v/>
      </c>
      <c r="BZ86" s="40">
        <f>IFERROR(EXP(0.15*(SQRT(BH86)-0.5)/(0.5*0.5)),"")</f>
        <v/>
      </c>
      <c r="CA86" s="40">
        <f>IFERROR(IF(BY86&gt;=1,1E9,BY86/(1-BY86)*BZ86),"")</f>
        <v/>
      </c>
      <c r="CB86" s="40">
        <f>IFERROR(CA86/(1+CA86),"")</f>
        <v/>
      </c>
      <c r="CC86" s="42">
        <f>BH86</f>
        <v/>
      </c>
      <c r="CD86" s="42">
        <f>BN86</f>
        <v/>
      </c>
      <c r="CE86" s="42">
        <f>CB86</f>
        <v/>
      </c>
      <c r="CF86" s="43" t="inlineStr">
        <is>
          <t>True. Widely known direction. Moderate emotional charge.</t>
        </is>
      </c>
    </row>
    <row r="87" ht="40" customHeight="1">
      <c r="A87" s="52" t="n">
        <v>85</v>
      </c>
      <c r="B87" s="43" t="inlineStr">
        <is>
          <t>For most Moroccans, the national football team has become a more powerful symbol of shared identity than older national symbols.</t>
        </is>
      </c>
      <c r="C87" s="52" t="inlineStr">
        <is>
          <t>History</t>
        </is>
      </c>
      <c r="D87" s="39" t="n">
        <v>0.82</v>
      </c>
      <c r="E87" s="39" t="n">
        <v>0.82</v>
      </c>
      <c r="F87" s="39" t="n">
        <v>0.8</v>
      </c>
      <c r="G87" s="39" t="n">
        <v>0.82</v>
      </c>
      <c r="H87" s="40">
        <f>IFERROR(AVERAGE(D87,E87,F87,G87),"")</f>
        <v/>
      </c>
      <c r="I87" s="39" t="n">
        <v>0.65</v>
      </c>
      <c r="J87" s="39" t="n">
        <v>0.62</v>
      </c>
      <c r="K87" s="39" t="n">
        <v>0.65</v>
      </c>
      <c r="L87" s="39" t="n">
        <v>0.6</v>
      </c>
      <c r="M87" s="40">
        <f>IFERROR(AVERAGE(I87,J87,K87,L87),"")</f>
        <v/>
      </c>
      <c r="N87" s="39" t="n">
        <v>0.55</v>
      </c>
      <c r="O87" s="39" t="n">
        <v>0.72</v>
      </c>
      <c r="P87" s="40">
        <f>IFERROR(IF(H87=0,0,H87^(H87^(-0.5)))*SQRT(M87)*((4*N87+O87)/5),"")</f>
        <v/>
      </c>
      <c r="Q87" s="39" t="n">
        <v>0.55</v>
      </c>
      <c r="R87" s="39" t="n">
        <v>0.78</v>
      </c>
      <c r="S87" s="39" t="n">
        <v>0.62</v>
      </c>
      <c r="T87" s="39" t="n">
        <v>0.75</v>
      </c>
      <c r="U87" s="40">
        <f>IFERROR(((Q87^1.4+T87)/2)*R87*(1-EXP(-4.605*S87)),"")</f>
        <v/>
      </c>
      <c r="V87" s="39" t="n">
        <v>0.62</v>
      </c>
      <c r="W87" s="39" t="n">
        <v>0.68</v>
      </c>
      <c r="X87" s="39" t="n">
        <v>0.6</v>
      </c>
      <c r="Y87" s="39" t="n">
        <v>0.72</v>
      </c>
      <c r="Z87" s="39" t="n">
        <v>0.48</v>
      </c>
      <c r="AA87" s="39" t="n">
        <v>0.72</v>
      </c>
      <c r="AB87" s="40">
        <f>IFERROR(Z87*(Y87*AA87^1.1)^1.1*((3*V87+2*W87+X87)/6)^0.5,"")</f>
        <v/>
      </c>
      <c r="AC87" s="40">
        <f>IFERROR(SQRT(AB87),"")</f>
        <v/>
      </c>
      <c r="AD87" s="39" t="n">
        <v>0.72</v>
      </c>
      <c r="AE87" s="39" t="n">
        <v>0.5</v>
      </c>
      <c r="AF87" s="40">
        <f>IFERROR(AE87*(1-AE87*H87),"")</f>
        <v/>
      </c>
      <c r="AG87" s="39" t="n">
        <v>0.68</v>
      </c>
      <c r="AH87" s="39" t="n">
        <v>0.68</v>
      </c>
      <c r="AI87" s="39" t="n">
        <v>0.72</v>
      </c>
      <c r="AJ87" s="40">
        <f>IFERROR(AH87^2.1*AG87^0.2*(2*AF87+3*AI87+AD87)/6,"")</f>
        <v/>
      </c>
      <c r="AK87" s="40">
        <f>IFERROR(SQRT(AJ87),"")</f>
        <v/>
      </c>
      <c r="AL87" s="39" t="n">
        <v>0.5</v>
      </c>
      <c r="AM87" s="40">
        <f>IFERROR(1-EXP(-AL87),"")</f>
        <v/>
      </c>
      <c r="AN87" s="40">
        <f>IFERROR(4.18*AM87^0.7*(1-AM87)^1.5,"")</f>
        <v/>
      </c>
      <c r="AO87" s="39" t="n">
        <v>0.68</v>
      </c>
      <c r="AP87" s="39" t="n">
        <v>0.55</v>
      </c>
      <c r="AQ87" s="39" t="n">
        <v>0.72</v>
      </c>
      <c r="AR87" s="39" t="n">
        <v>0.8</v>
      </c>
      <c r="AS87" s="40">
        <f>IFERROR(AN87^(1-AO87)*AP87*(4*AQ87*(1-AQ87))*AR87^1.15,"")</f>
        <v/>
      </c>
      <c r="AT87" s="40">
        <f>IFERROR(AS87^(1/3),"")</f>
        <v/>
      </c>
      <c r="AU87" s="39" t="n">
        <v>1.3</v>
      </c>
      <c r="AV87" s="39" t="n">
        <v>2</v>
      </c>
      <c r="AW87" s="40">
        <f>IFERROR(IF(AV87&lt;=1,AU87,AU87*(1+(AV87-1)*0.6)),"")</f>
        <v/>
      </c>
      <c r="AX87" s="39" t="n">
        <v>0.72</v>
      </c>
      <c r="AY87" s="39" t="n">
        <v>0.28</v>
      </c>
      <c r="AZ87" s="41" t="n">
        <v>0.5</v>
      </c>
      <c r="BA87" s="40">
        <f>IFERROR(AZ87/(1-AZ87),"")</f>
        <v/>
      </c>
      <c r="BB87" s="40">
        <f>IFERROR(EXP((P87-0.301)/(0.301*(1-0.301))),"")</f>
        <v/>
      </c>
      <c r="BC87" s="40">
        <f>IFERROR(EXP((U87-0.354)/(0.354*(1-0.354))),"")</f>
        <v/>
      </c>
      <c r="BD87" s="40">
        <f>IFERROR(AW87,"")</f>
        <v/>
      </c>
      <c r="BE87" s="40">
        <f>IFERROR(EXP((AX87-0.75)/(0.75*(1-0.75))),"")</f>
        <v/>
      </c>
      <c r="BF87" s="40">
        <f>IFERROR(EXP((AY87-0.5)/(0.5*(1-0.5))),"")</f>
        <v/>
      </c>
      <c r="BG87" s="40">
        <f>IFERROR(BA87*BB87*BC87*BD87*BE87*BF87,"")</f>
        <v/>
      </c>
      <c r="BH87" s="40">
        <f>IFERROR(BG87/(1+BG87),"")</f>
        <v/>
      </c>
      <c r="BI87" s="40">
        <f>IFERROR(IF(BH87&gt;=1,1E9,BH87/(1-BH87)),"")</f>
        <v/>
      </c>
      <c r="BJ87" s="40">
        <f>IFERROR(EXP((AC87-0.372)/(0.372*(1-0.372))),"")</f>
        <v/>
      </c>
      <c r="BK87" s="40">
        <f>IFERROR(EXP((AK87-0.415)/(0.415*(1-0.415))),"")</f>
        <v/>
      </c>
      <c r="BL87" s="40">
        <f>IFERROR(EXP((AT87-0.405)/(0.405*(1-0.405))),"")</f>
        <v/>
      </c>
      <c r="BM87" s="40">
        <f>IFERROR(BI87*BJ87*BK87*BL87,"")</f>
        <v/>
      </c>
      <c r="BN87" s="40">
        <f>IFERROR(BM87/(1+BM87),"")</f>
        <v/>
      </c>
      <c r="BO87" s="40">
        <f>IFERROR(IF(AC87&gt;=1,0.999,1-EXP(1-(1-AC87)^(-0.8))),"")</f>
        <v/>
      </c>
      <c r="BP87" s="40">
        <f>IFERROR(IF(AK87&gt;=1,0.999,1-EXP(1-(1-AK87)^(-0.75))),"")</f>
        <v/>
      </c>
      <c r="BQ87" s="40">
        <f>IFERROR(1-EXP(-AL87*(1+AL87)),"")</f>
        <v/>
      </c>
      <c r="BR87" s="40">
        <f>IFERROR(BQ87^(1-AO87)*AP87*(4*AQ87*(1-AQ87))*AR87^1.15,"")</f>
        <v/>
      </c>
      <c r="BS87" s="40">
        <f>IFERROR(IF(BR87^(1/3)&gt;=1,0.999,1-EXP(1-(1-BR87^(1/3))^(-0.7))),"")</f>
        <v/>
      </c>
      <c r="BT87" s="40">
        <f>1</f>
        <v/>
      </c>
      <c r="BU87" s="40">
        <f>IFERROR(EXP((BO87-0.372)/(0.372*(1-0.372))),"")</f>
        <v/>
      </c>
      <c r="BV87" s="40">
        <f>IFERROR(EXP((BP87-0.415)/(0.415*(1-0.415))),"")</f>
        <v/>
      </c>
      <c r="BW87" s="40">
        <f>IFERROR(EXP((BS87-0.405)/(0.405*(1-0.405))),"")</f>
        <v/>
      </c>
      <c r="BX87" s="40">
        <f>IFERROR(BT87*BU87*BV87*BW87,"")</f>
        <v/>
      </c>
      <c r="BY87" s="40">
        <f>IFERROR(BX87/(1+BX87),"")</f>
        <v/>
      </c>
      <c r="BZ87" s="40">
        <f>IFERROR(EXP(0.15*(SQRT(BH87)-0.5)/(0.5*0.5)),"")</f>
        <v/>
      </c>
      <c r="CA87" s="40">
        <f>IFERROR(IF(BY87&gt;=1,1E9,BY87/(1-BY87)*BZ87),"")</f>
        <v/>
      </c>
      <c r="CB87" s="40">
        <f>IFERROR(CA87/(1+CA87),"")</f>
        <v/>
      </c>
      <c r="CC87" s="42">
        <f>BH87</f>
        <v/>
      </c>
      <c r="CD87" s="42">
        <f>BN87</f>
        <v/>
      </c>
      <c r="CE87" s="42">
        <f>CB87</f>
        <v/>
      </c>
      <c r="CF87" s="43" t="inlineStr">
        <is>
          <t>Divisive for receiver. Emotionally charged. H_f=0.62 - observable.</t>
        </is>
      </c>
    </row>
    <row r="88" ht="40" customHeight="1">
      <c r="A88" s="53" t="n">
        <v>86</v>
      </c>
      <c r="B88" s="54" t="inlineStr">
        <is>
          <t>Morocco's social security database was breached in a major cyberattack, exposing a huge number of citizens' personal data.</t>
        </is>
      </c>
      <c r="C88" s="53" t="inlineStr">
        <is>
          <t>Technology</t>
        </is>
      </c>
      <c r="D88" s="39" t="n">
        <v>0.82</v>
      </c>
      <c r="E88" s="39" t="n">
        <v>0.82</v>
      </c>
      <c r="F88" s="39" t="n">
        <v>0.75</v>
      </c>
      <c r="G88" s="39" t="n">
        <v>0.8</v>
      </c>
      <c r="H88" s="40">
        <f>IFERROR(AVERAGE(D88,E88,F88,G88),"")</f>
        <v/>
      </c>
      <c r="I88" s="39" t="n">
        <v>0.75</v>
      </c>
      <c r="J88" s="39" t="n">
        <v>0.7</v>
      </c>
      <c r="K88" s="39" t="n">
        <v>0.7</v>
      </c>
      <c r="L88" s="39" t="n">
        <v>0.65</v>
      </c>
      <c r="M88" s="40">
        <f>IFERROR(AVERAGE(I88,J88,K88,L88),"")</f>
        <v/>
      </c>
      <c r="N88" s="39" t="n">
        <v>0.62</v>
      </c>
      <c r="O88" s="39" t="n">
        <v>0.75</v>
      </c>
      <c r="P88" s="40">
        <f>IFERROR(IF(H88=0,0,H88^(H88^(-0.5)))*SQRT(M88)*((4*N88+O88)/5),"")</f>
        <v/>
      </c>
      <c r="Q88" s="39" t="n">
        <v>0.42</v>
      </c>
      <c r="R88" s="39" t="n">
        <v>0.88</v>
      </c>
      <c r="S88" s="39" t="n">
        <v>0.88</v>
      </c>
      <c r="T88" s="39" t="n">
        <v>0.8</v>
      </c>
      <c r="U88" s="40">
        <f>IFERROR(((Q88^1.4+T88)/2)*R88*(1-EXP(-4.605*S88)),"")</f>
        <v/>
      </c>
      <c r="V88" s="39" t="n">
        <v>0.62</v>
      </c>
      <c r="W88" s="39" t="n">
        <v>0.68</v>
      </c>
      <c r="X88" s="39" t="n">
        <v>0.6</v>
      </c>
      <c r="Y88" s="39" t="n">
        <v>0.72</v>
      </c>
      <c r="Z88" s="39" t="n">
        <v>0.52</v>
      </c>
      <c r="AA88" s="39" t="n">
        <v>0.75</v>
      </c>
      <c r="AB88" s="40">
        <f>IFERROR(Z88*(Y88*AA88^1.1)^1.1*((3*V88+2*W88+X88)/6)^0.5,"")</f>
        <v/>
      </c>
      <c r="AC88" s="40">
        <f>IFERROR(SQRT(AB88),"")</f>
        <v/>
      </c>
      <c r="AD88" s="39" t="n">
        <v>0.65</v>
      </c>
      <c r="AE88" s="39" t="n">
        <v>0.48</v>
      </c>
      <c r="AF88" s="40">
        <f>IFERROR(AE88*(1-AE88*H88),"")</f>
        <v/>
      </c>
      <c r="AG88" s="39" t="n">
        <v>0.62</v>
      </c>
      <c r="AH88" s="39" t="n">
        <v>0.8</v>
      </c>
      <c r="AI88" s="39" t="n">
        <v>0.72</v>
      </c>
      <c r="AJ88" s="40">
        <f>IFERROR(AH88^2.1*AG88^0.2*(2*AF88+3*AI88+AD88)/6,"")</f>
        <v/>
      </c>
      <c r="AK88" s="40">
        <f>IFERROR(SQRT(AJ88),"")</f>
        <v/>
      </c>
      <c r="AL88" s="39" t="n">
        <v>0.5</v>
      </c>
      <c r="AM88" s="40">
        <f>IFERROR(1-EXP(-AL88),"")</f>
        <v/>
      </c>
      <c r="AN88" s="40">
        <f>IFERROR(4.18*AM88^0.7*(1-AM88)^1.5,"")</f>
        <v/>
      </c>
      <c r="AO88" s="39" t="n">
        <v>0.62</v>
      </c>
      <c r="AP88" s="39" t="n">
        <v>0.52</v>
      </c>
      <c r="AQ88" s="39" t="n">
        <v>0.6</v>
      </c>
      <c r="AR88" s="39" t="n">
        <v>0.8</v>
      </c>
      <c r="AS88" s="40">
        <f>IFERROR(AN88^(1-AO88)*AP88*(4*AQ88*(1-AQ88))*AR88^1.15,"")</f>
        <v/>
      </c>
      <c r="AT88" s="40">
        <f>IFERROR(AS88^(1/3),"")</f>
        <v/>
      </c>
      <c r="AU88" s="39" t="n">
        <v>2.5</v>
      </c>
      <c r="AV88" s="39" t="n">
        <v>3</v>
      </c>
      <c r="AW88" s="40">
        <f>IFERROR(IF(AV88&lt;=1,AU88,AU88*(1+(AV88-1)*0.6)),"")</f>
        <v/>
      </c>
      <c r="AX88" s="39" t="n">
        <v>0.88</v>
      </c>
      <c r="AY88" s="39" t="n">
        <v>0.55</v>
      </c>
      <c r="AZ88" s="41" t="n">
        <v>0.5</v>
      </c>
      <c r="BA88" s="40">
        <f>IFERROR(AZ88/(1-AZ88),"")</f>
        <v/>
      </c>
      <c r="BB88" s="40">
        <f>IFERROR(EXP((P88-0.301)/(0.301*(1-0.301))),"")</f>
        <v/>
      </c>
      <c r="BC88" s="40">
        <f>IFERROR(EXP((U88-0.354)/(0.354*(1-0.354))),"")</f>
        <v/>
      </c>
      <c r="BD88" s="40">
        <f>IFERROR(AW88,"")</f>
        <v/>
      </c>
      <c r="BE88" s="40">
        <f>IFERROR(EXP((AX88-0.75)/(0.75*(1-0.75))),"")</f>
        <v/>
      </c>
      <c r="BF88" s="40">
        <f>IFERROR(EXP((AY88-0.5)/(0.5*(1-0.5))),"")</f>
        <v/>
      </c>
      <c r="BG88" s="40">
        <f>IFERROR(BA88*BB88*BC88*BD88*BE88*BF88,"")</f>
        <v/>
      </c>
      <c r="BH88" s="40">
        <f>IFERROR(BG88/(1+BG88),"")</f>
        <v/>
      </c>
      <c r="BI88" s="40">
        <f>IFERROR(IF(BH88&gt;=1,1E9,BH88/(1-BH88)),"")</f>
        <v/>
      </c>
      <c r="BJ88" s="40">
        <f>IFERROR(EXP((AC88-0.372)/(0.372*(1-0.372))),"")</f>
        <v/>
      </c>
      <c r="BK88" s="40">
        <f>IFERROR(EXP((AK88-0.415)/(0.415*(1-0.415))),"")</f>
        <v/>
      </c>
      <c r="BL88" s="40">
        <f>IFERROR(EXP((AT88-0.405)/(0.405*(1-0.405))),"")</f>
        <v/>
      </c>
      <c r="BM88" s="40">
        <f>IFERROR(BI88*BJ88*BK88*BL88,"")</f>
        <v/>
      </c>
      <c r="BN88" s="40">
        <f>IFERROR(BM88/(1+BM88),"")</f>
        <v/>
      </c>
      <c r="BO88" s="40">
        <f>IFERROR(IF(AC88&gt;=1,0.999,1-EXP(1-(1-AC88)^(-0.8))),"")</f>
        <v/>
      </c>
      <c r="BP88" s="40">
        <f>IFERROR(IF(AK88&gt;=1,0.999,1-EXP(1-(1-AK88)^(-0.75))),"")</f>
        <v/>
      </c>
      <c r="BQ88" s="40">
        <f>IFERROR(1-EXP(-AL88*(1+AL88)),"")</f>
        <v/>
      </c>
      <c r="BR88" s="40">
        <f>IFERROR(BQ88^(1-AO88)*AP88*(4*AQ88*(1-AQ88))*AR88^1.15,"")</f>
        <v/>
      </c>
      <c r="BS88" s="40">
        <f>IFERROR(IF(BR88^(1/3)&gt;=1,0.999,1-EXP(1-(1-BR88^(1/3))^(-0.7))),"")</f>
        <v/>
      </c>
      <c r="BT88" s="40">
        <f>1</f>
        <v/>
      </c>
      <c r="BU88" s="40">
        <f>IFERROR(EXP((BO88-0.372)/(0.372*(1-0.372))),"")</f>
        <v/>
      </c>
      <c r="BV88" s="40">
        <f>IFERROR(EXP((BP88-0.415)/(0.415*(1-0.415))),"")</f>
        <v/>
      </c>
      <c r="BW88" s="40">
        <f>IFERROR(EXP((BS88-0.405)/(0.405*(1-0.405))),"")</f>
        <v/>
      </c>
      <c r="BX88" s="40">
        <f>IFERROR(BT88*BU88*BV88*BW88,"")</f>
        <v/>
      </c>
      <c r="BY88" s="40">
        <f>IFERROR(BX88/(1+BX88),"")</f>
        <v/>
      </c>
      <c r="BZ88" s="40">
        <f>IFERROR(EXP(0.15*(SQRT(BH88)-0.5)/(0.5*0.5)),"")</f>
        <v/>
      </c>
      <c r="CA88" s="40">
        <f>IFERROR(IF(BY88&gt;=1,1E9,BY88/(1-BY88)*BZ88),"")</f>
        <v/>
      </c>
      <c r="CB88" s="40">
        <f>IFERROR(CA88/(1+CA88),"")</f>
        <v/>
      </c>
      <c r="CC88" s="42">
        <f>BH88</f>
        <v/>
      </c>
      <c r="CD88" s="42">
        <f>BN88</f>
        <v/>
      </c>
      <c r="CE88" s="42">
        <f>CB88</f>
        <v/>
      </c>
      <c r="CF88" s="43" t="inlineStr">
        <is>
          <t>True. Recent. Known from news coverage. Personal data concern.</t>
        </is>
      </c>
    </row>
    <row r="89" ht="40" customHeight="1">
      <c r="A89" s="53" t="n">
        <v>87</v>
      </c>
      <c r="B89" s="54" t="inlineStr">
        <is>
          <t>TikTok is banned in Morocco.</t>
        </is>
      </c>
      <c r="C89" s="53" t="inlineStr">
        <is>
          <t>Technology</t>
        </is>
      </c>
      <c r="D89" s="39" t="n">
        <v>0.75</v>
      </c>
      <c r="E89" s="39" t="n">
        <v>0.75</v>
      </c>
      <c r="F89" s="39" t="n">
        <v>0.72</v>
      </c>
      <c r="G89" s="39" t="n">
        <v>0.75</v>
      </c>
      <c r="H89" s="40">
        <f>IFERROR(AVERAGE(D89,E89,F89,G89),"")</f>
        <v/>
      </c>
      <c r="I89" s="39" t="n">
        <v>0.18</v>
      </c>
      <c r="J89" s="39" t="n">
        <v>0.15</v>
      </c>
      <c r="K89" s="39" t="n">
        <v>0.12</v>
      </c>
      <c r="L89" s="39" t="n">
        <v>0.15</v>
      </c>
      <c r="M89" s="40">
        <f>IFERROR(AVERAGE(I89,J89,K89,L89),"")</f>
        <v/>
      </c>
      <c r="N89" s="39" t="n">
        <v>0.28</v>
      </c>
      <c r="O89" s="39" t="n">
        <v>0.55</v>
      </c>
      <c r="P89" s="40">
        <f>IFERROR(IF(H89=0,0,H89^(H89^(-0.5)))*SQRT(M89)*((4*N89+O89)/5),"")</f>
        <v/>
      </c>
      <c r="Q89" s="39" t="n">
        <v>0.5</v>
      </c>
      <c r="R89" s="39" t="n">
        <v>0.65</v>
      </c>
      <c r="S89" s="39" t="n">
        <v>0.8</v>
      </c>
      <c r="T89" s="39" t="n">
        <v>0.6</v>
      </c>
      <c r="U89" s="40">
        <f>IFERROR(((Q89^1.4+T89)/2)*R89*(1-EXP(-4.605*S89)),"")</f>
        <v/>
      </c>
      <c r="V89" s="39" t="n">
        <v>0.55</v>
      </c>
      <c r="W89" s="39" t="n">
        <v>0.6</v>
      </c>
      <c r="X89" s="39" t="n">
        <v>0.6</v>
      </c>
      <c r="Y89" s="39" t="n">
        <v>0.58</v>
      </c>
      <c r="Z89" s="39" t="n">
        <v>0.38</v>
      </c>
      <c r="AA89" s="39" t="n">
        <v>0.68</v>
      </c>
      <c r="AB89" s="40">
        <f>IFERROR(Z89*(Y89*AA89^1.1)^1.1*((3*V89+2*W89+X89)/6)^0.5,"")</f>
        <v/>
      </c>
      <c r="AC89" s="40">
        <f>IFERROR(SQRT(AB89),"")</f>
        <v/>
      </c>
      <c r="AD89" s="39" t="n">
        <v>0.52</v>
      </c>
      <c r="AE89" s="39" t="n">
        <v>0.2</v>
      </c>
      <c r="AF89" s="40">
        <f>IFERROR(AE89*(1-AE89*H89),"")</f>
        <v/>
      </c>
      <c r="AG89" s="39" t="n">
        <v>0.5</v>
      </c>
      <c r="AH89" s="39" t="n">
        <v>0.9</v>
      </c>
      <c r="AI89" s="39" t="n">
        <v>0.55</v>
      </c>
      <c r="AJ89" s="40">
        <f>IFERROR(AH89^2.1*AG89^0.2*(2*AF89+3*AI89+AD89)/6,"")</f>
        <v/>
      </c>
      <c r="AK89" s="40">
        <f>IFERROR(SQRT(AJ89),"")</f>
        <v/>
      </c>
      <c r="AL89" s="39" t="n">
        <v>0.4</v>
      </c>
      <c r="AM89" s="40">
        <f>IFERROR(1-EXP(-AL89),"")</f>
        <v/>
      </c>
      <c r="AN89" s="40">
        <f>IFERROR(4.18*AM89^0.7*(1-AM89)^1.5,"")</f>
        <v/>
      </c>
      <c r="AO89" s="39" t="n">
        <v>0.62</v>
      </c>
      <c r="AP89" s="39" t="n">
        <v>0.42</v>
      </c>
      <c r="AQ89" s="39" t="n">
        <v>0.5</v>
      </c>
      <c r="AR89" s="39" t="n">
        <v>0.58</v>
      </c>
      <c r="AS89" s="40">
        <f>IFERROR(AN89^(1-AO89)*AP89*(4*AQ89*(1-AQ89))*AR89^1.15,"")</f>
        <v/>
      </c>
      <c r="AT89" s="40">
        <f>IFERROR(AS89^(1/3),"")</f>
        <v/>
      </c>
      <c r="AU89" s="39" t="n">
        <v>1</v>
      </c>
      <c r="AV89" s="39" t="n">
        <v>1</v>
      </c>
      <c r="AW89" s="40">
        <f>IFERROR(IF(AV89&lt;=1,AU89,AU89*(1+(AV89-1)*0.6)),"")</f>
        <v/>
      </c>
      <c r="AX89" s="39" t="n">
        <v>0.12</v>
      </c>
      <c r="AY89" s="39" t="n">
        <v>0.05</v>
      </c>
      <c r="AZ89" s="41" t="n">
        <v>0.5</v>
      </c>
      <c r="BA89" s="40">
        <f>IFERROR(AZ89/(1-AZ89),"")</f>
        <v/>
      </c>
      <c r="BB89" s="40">
        <f>IFERROR(EXP((P89-0.301)/(0.301*(1-0.301))),"")</f>
        <v/>
      </c>
      <c r="BC89" s="40">
        <f>IFERROR(EXP((U89-0.354)/(0.354*(1-0.354))),"")</f>
        <v/>
      </c>
      <c r="BD89" s="40">
        <f>IFERROR(AW89,"")</f>
        <v/>
      </c>
      <c r="BE89" s="40">
        <f>IFERROR(EXP((AX89-0.75)/(0.75*(1-0.75))),"")</f>
        <v/>
      </c>
      <c r="BF89" s="40">
        <f>IFERROR(EXP((AY89-0.5)/(0.5*(1-0.5))),"")</f>
        <v/>
      </c>
      <c r="BG89" s="40">
        <f>IFERROR(BA89*BB89*BC89*BD89*BE89*BF89,"")</f>
        <v/>
      </c>
      <c r="BH89" s="40">
        <f>IFERROR(BG89/(1+BG89),"")</f>
        <v/>
      </c>
      <c r="BI89" s="40">
        <f>IFERROR(IF(BH89&gt;=1,1E9,BH89/(1-BH89)),"")</f>
        <v/>
      </c>
      <c r="BJ89" s="40">
        <f>IFERROR(EXP((AC89-0.372)/(0.372*(1-0.372))),"")</f>
        <v/>
      </c>
      <c r="BK89" s="40">
        <f>IFERROR(EXP((AK89-0.415)/(0.415*(1-0.415))),"")</f>
        <v/>
      </c>
      <c r="BL89" s="40">
        <f>IFERROR(EXP((AT89-0.405)/(0.405*(1-0.405))),"")</f>
        <v/>
      </c>
      <c r="BM89" s="40">
        <f>IFERROR(BI89*BJ89*BK89*BL89,"")</f>
        <v/>
      </c>
      <c r="BN89" s="40">
        <f>IFERROR(BM89/(1+BM89),"")</f>
        <v/>
      </c>
      <c r="BO89" s="40">
        <f>IFERROR(IF(AC89&gt;=1,0.999,1-EXP(1-(1-AC89)^(-0.8))),"")</f>
        <v/>
      </c>
      <c r="BP89" s="40">
        <f>IFERROR(IF(AK89&gt;=1,0.999,1-EXP(1-(1-AK89)^(-0.75))),"")</f>
        <v/>
      </c>
      <c r="BQ89" s="40">
        <f>IFERROR(1-EXP(-AL89*(1+AL89)),"")</f>
        <v/>
      </c>
      <c r="BR89" s="40">
        <f>IFERROR(BQ89^(1-AO89)*AP89*(4*AQ89*(1-AQ89))*AR89^1.15,"")</f>
        <v/>
      </c>
      <c r="BS89" s="40">
        <f>IFERROR(IF(BR89^(1/3)&gt;=1,0.999,1-EXP(1-(1-BR89^(1/3))^(-0.7))),"")</f>
        <v/>
      </c>
      <c r="BT89" s="40">
        <f>1</f>
        <v/>
      </c>
      <c r="BU89" s="40">
        <f>IFERROR(EXP((BO89-0.372)/(0.372*(1-0.372))),"")</f>
        <v/>
      </c>
      <c r="BV89" s="40">
        <f>IFERROR(EXP((BP89-0.415)/(0.415*(1-0.415))),"")</f>
        <v/>
      </c>
      <c r="BW89" s="40">
        <f>IFERROR(EXP((BS89-0.405)/(0.405*(1-0.405))),"")</f>
        <v/>
      </c>
      <c r="BX89" s="40">
        <f>IFERROR(BT89*BU89*BV89*BW89,"")</f>
        <v/>
      </c>
      <c r="BY89" s="40">
        <f>IFERROR(BX89/(1+BX89),"")</f>
        <v/>
      </c>
      <c r="BZ89" s="40">
        <f>IFERROR(EXP(0.15*(SQRT(BH89)-0.5)/(0.5*0.5)),"")</f>
        <v/>
      </c>
      <c r="CA89" s="40">
        <f>IFERROR(IF(BY89&gt;=1,1E9,BY89/(1-BY89)*BZ89),"")</f>
        <v/>
      </c>
      <c r="CB89" s="40">
        <f>IFERROR(CA89/(1+CA89),"")</f>
        <v/>
      </c>
      <c r="CC89" s="42">
        <f>BH89</f>
        <v/>
      </c>
      <c r="CD89" s="42">
        <f>BN89</f>
        <v/>
      </c>
      <c r="CE89" s="42">
        <f>CB89</f>
        <v/>
      </c>
      <c r="CF89" s="43" t="inlineStr">
        <is>
          <t>Clearly false. Widely known to be false. AB_r=0.90 (strong opposition to this claim).</t>
        </is>
      </c>
    </row>
    <row r="90" ht="40" customHeight="1">
      <c r="A90" s="53" t="n">
        <v>88</v>
      </c>
      <c r="B90" s="54" t="inlineStr">
        <is>
          <t>Using a VPN in Morocco is illegal.</t>
        </is>
      </c>
      <c r="C90" s="53" t="inlineStr">
        <is>
          <t>Technology</t>
        </is>
      </c>
      <c r="D90" s="39" t="n">
        <v>0.75</v>
      </c>
      <c r="E90" s="39" t="n">
        <v>0.75</v>
      </c>
      <c r="F90" s="39" t="n">
        <v>0.72</v>
      </c>
      <c r="G90" s="39" t="n">
        <v>0.75</v>
      </c>
      <c r="H90" s="40">
        <f>IFERROR(AVERAGE(D90,E90,F90,G90),"")</f>
        <v/>
      </c>
      <c r="I90" s="39" t="n">
        <v>0.18</v>
      </c>
      <c r="J90" s="39" t="n">
        <v>0.15</v>
      </c>
      <c r="K90" s="39" t="n">
        <v>0.12</v>
      </c>
      <c r="L90" s="39" t="n">
        <v>0.15</v>
      </c>
      <c r="M90" s="40">
        <f>IFERROR(AVERAGE(I90,J90,K90,L90),"")</f>
        <v/>
      </c>
      <c r="N90" s="39" t="n">
        <v>0.28</v>
      </c>
      <c r="O90" s="39" t="n">
        <v>0.55</v>
      </c>
      <c r="P90" s="40">
        <f>IFERROR(IF(H90=0,0,H90^(H90^(-0.5)))*SQRT(M90)*((4*N90+O90)/5),"")</f>
        <v/>
      </c>
      <c r="Q90" s="39" t="n">
        <v>0.48</v>
      </c>
      <c r="R90" s="39" t="n">
        <v>0.65</v>
      </c>
      <c r="S90" s="39" t="n">
        <v>0.78</v>
      </c>
      <c r="T90" s="39" t="n">
        <v>0.6</v>
      </c>
      <c r="U90" s="40">
        <f>IFERROR(((Q90^1.4+T90)/2)*R90*(1-EXP(-4.605*S90)),"")</f>
        <v/>
      </c>
      <c r="V90" s="39" t="n">
        <v>0.55</v>
      </c>
      <c r="W90" s="39" t="n">
        <v>0.6</v>
      </c>
      <c r="X90" s="39" t="n">
        <v>0.6</v>
      </c>
      <c r="Y90" s="39" t="n">
        <v>0.58</v>
      </c>
      <c r="Z90" s="39" t="n">
        <v>0.38</v>
      </c>
      <c r="AA90" s="39" t="n">
        <v>0.65</v>
      </c>
      <c r="AB90" s="40">
        <f>IFERROR(Z90*(Y90*AA90^1.1)^1.1*((3*V90+2*W90+X90)/6)^0.5,"")</f>
        <v/>
      </c>
      <c r="AC90" s="40">
        <f>IFERROR(SQRT(AB90),"")</f>
        <v/>
      </c>
      <c r="AD90" s="39" t="n">
        <v>0.52</v>
      </c>
      <c r="AE90" s="39" t="n">
        <v>0.18</v>
      </c>
      <c r="AF90" s="40">
        <f>IFERROR(AE90*(1-AE90*H90),"")</f>
        <v/>
      </c>
      <c r="AG90" s="39" t="n">
        <v>0.5</v>
      </c>
      <c r="AH90" s="39" t="n">
        <v>0.78</v>
      </c>
      <c r="AI90" s="39" t="n">
        <v>0.52</v>
      </c>
      <c r="AJ90" s="40">
        <f>IFERROR(AH90^2.1*AG90^0.2*(2*AF90+3*AI90+AD90)/6,"")</f>
        <v/>
      </c>
      <c r="AK90" s="40">
        <f>IFERROR(SQRT(AJ90),"")</f>
        <v/>
      </c>
      <c r="AL90" s="39" t="n">
        <v>0.45</v>
      </c>
      <c r="AM90" s="40">
        <f>IFERROR(1-EXP(-AL90),"")</f>
        <v/>
      </c>
      <c r="AN90" s="40">
        <f>IFERROR(4.18*AM90^0.7*(1-AM90)^1.5,"")</f>
        <v/>
      </c>
      <c r="AO90" s="39" t="n">
        <v>0.62</v>
      </c>
      <c r="AP90" s="39" t="n">
        <v>0.42</v>
      </c>
      <c r="AQ90" s="39" t="n">
        <v>0.5</v>
      </c>
      <c r="AR90" s="39" t="n">
        <v>0.55</v>
      </c>
      <c r="AS90" s="40">
        <f>IFERROR(AN90^(1-AO90)*AP90*(4*AQ90*(1-AQ90))*AR90^1.15,"")</f>
        <v/>
      </c>
      <c r="AT90" s="40">
        <f>IFERROR(AS90^(1/3),"")</f>
        <v/>
      </c>
      <c r="AU90" s="39" t="n">
        <v>1</v>
      </c>
      <c r="AV90" s="39" t="n">
        <v>1</v>
      </c>
      <c r="AW90" s="40">
        <f>IFERROR(IF(AV90&lt;=1,AU90,AU90*(1+(AV90-1)*0.6)),"")</f>
        <v/>
      </c>
      <c r="AX90" s="39" t="n">
        <v>0.15</v>
      </c>
      <c r="AY90" s="39" t="n">
        <v>0.05</v>
      </c>
      <c r="AZ90" s="41" t="n">
        <v>0.5</v>
      </c>
      <c r="BA90" s="40">
        <f>IFERROR(AZ90/(1-AZ90),"")</f>
        <v/>
      </c>
      <c r="BB90" s="40">
        <f>IFERROR(EXP((P90-0.301)/(0.301*(1-0.301))),"")</f>
        <v/>
      </c>
      <c r="BC90" s="40">
        <f>IFERROR(EXP((U90-0.354)/(0.354*(1-0.354))),"")</f>
        <v/>
      </c>
      <c r="BD90" s="40">
        <f>IFERROR(AW90,"")</f>
        <v/>
      </c>
      <c r="BE90" s="40">
        <f>IFERROR(EXP((AX90-0.75)/(0.75*(1-0.75))),"")</f>
        <v/>
      </c>
      <c r="BF90" s="40">
        <f>IFERROR(EXP((AY90-0.5)/(0.5*(1-0.5))),"")</f>
        <v/>
      </c>
      <c r="BG90" s="40">
        <f>IFERROR(BA90*BB90*BC90*BD90*BE90*BF90,"")</f>
        <v/>
      </c>
      <c r="BH90" s="40">
        <f>IFERROR(BG90/(1+BG90),"")</f>
        <v/>
      </c>
      <c r="BI90" s="40">
        <f>IFERROR(IF(BH90&gt;=1,1E9,BH90/(1-BH90)),"")</f>
        <v/>
      </c>
      <c r="BJ90" s="40">
        <f>IFERROR(EXP((AC90-0.372)/(0.372*(1-0.372))),"")</f>
        <v/>
      </c>
      <c r="BK90" s="40">
        <f>IFERROR(EXP((AK90-0.415)/(0.415*(1-0.415))),"")</f>
        <v/>
      </c>
      <c r="BL90" s="40">
        <f>IFERROR(EXP((AT90-0.405)/(0.405*(1-0.405))),"")</f>
        <v/>
      </c>
      <c r="BM90" s="40">
        <f>IFERROR(BI90*BJ90*BK90*BL90,"")</f>
        <v/>
      </c>
      <c r="BN90" s="40">
        <f>IFERROR(BM90/(1+BM90),"")</f>
        <v/>
      </c>
      <c r="BO90" s="40">
        <f>IFERROR(IF(AC90&gt;=1,0.999,1-EXP(1-(1-AC90)^(-0.8))),"")</f>
        <v/>
      </c>
      <c r="BP90" s="40">
        <f>IFERROR(IF(AK90&gt;=1,0.999,1-EXP(1-(1-AK90)^(-0.75))),"")</f>
        <v/>
      </c>
      <c r="BQ90" s="40">
        <f>IFERROR(1-EXP(-AL90*(1+AL90)),"")</f>
        <v/>
      </c>
      <c r="BR90" s="40">
        <f>IFERROR(BQ90^(1-AO90)*AP90*(4*AQ90*(1-AQ90))*AR90^1.15,"")</f>
        <v/>
      </c>
      <c r="BS90" s="40">
        <f>IFERROR(IF(BR90^(1/3)&gt;=1,0.999,1-EXP(1-(1-BR90^(1/3))^(-0.7))),"")</f>
        <v/>
      </c>
      <c r="BT90" s="40">
        <f>1</f>
        <v/>
      </c>
      <c r="BU90" s="40">
        <f>IFERROR(EXP((BO90-0.372)/(0.372*(1-0.372))),"")</f>
        <v/>
      </c>
      <c r="BV90" s="40">
        <f>IFERROR(EXP((BP90-0.415)/(0.415*(1-0.415))),"")</f>
        <v/>
      </c>
      <c r="BW90" s="40">
        <f>IFERROR(EXP((BS90-0.405)/(0.405*(1-0.405))),"")</f>
        <v/>
      </c>
      <c r="BX90" s="40">
        <f>IFERROR(BT90*BU90*BV90*BW90,"")</f>
        <v/>
      </c>
      <c r="BY90" s="40">
        <f>IFERROR(BX90/(1+BX90),"")</f>
        <v/>
      </c>
      <c r="BZ90" s="40">
        <f>IFERROR(EXP(0.15*(SQRT(BH90)-0.5)/(0.5*0.5)),"")</f>
        <v/>
      </c>
      <c r="CA90" s="40">
        <f>IFERROR(IF(BY90&gt;=1,1E9,BY90/(1-BY90)*BZ90),"")</f>
        <v/>
      </c>
      <c r="CB90" s="40">
        <f>IFERROR(CA90/(1+CA90),"")</f>
        <v/>
      </c>
      <c r="CC90" s="42">
        <f>BH90</f>
        <v/>
      </c>
      <c r="CD90" s="42">
        <f>BN90</f>
        <v/>
      </c>
      <c r="CE90" s="42">
        <f>CB90</f>
        <v/>
      </c>
      <c r="CF90" s="43" t="inlineStr">
        <is>
          <t>False. Not widely believed. AB_r=0.78.</t>
        </is>
      </c>
    </row>
    <row r="91" ht="40" customHeight="1">
      <c r="A91" s="53" t="n">
        <v>89</v>
      </c>
      <c r="B91" s="54" t="inlineStr">
        <is>
          <t>Artificial intelligence will eliminate more jobs in Morocco than it creates in the years ahead.</t>
        </is>
      </c>
      <c r="C91" s="53" t="inlineStr">
        <is>
          <t>Technology</t>
        </is>
      </c>
      <c r="D91" s="39" t="n">
        <v>0.72</v>
      </c>
      <c r="E91" s="39" t="n">
        <v>0.72</v>
      </c>
      <c r="F91" s="39" t="n">
        <v>0.68</v>
      </c>
      <c r="G91" s="39" t="n">
        <v>0.72</v>
      </c>
      <c r="H91" s="40">
        <f>IFERROR(AVERAGE(D91,E91,F91,G91),"")</f>
        <v/>
      </c>
      <c r="I91" s="39" t="n">
        <v>0.62</v>
      </c>
      <c r="J91" s="39" t="n">
        <v>0.58</v>
      </c>
      <c r="K91" s="39" t="n">
        <v>0.58</v>
      </c>
      <c r="L91" s="39" t="n">
        <v>0.55</v>
      </c>
      <c r="M91" s="40">
        <f>IFERROR(AVERAGE(I91,J91,K91,L91),"")</f>
        <v/>
      </c>
      <c r="N91" s="39" t="n">
        <v>0.52</v>
      </c>
      <c r="O91" s="39" t="n">
        <v>0.65</v>
      </c>
      <c r="P91" s="40">
        <f>IFERROR(IF(H91=0,0,H91^(H91^(-0.5)))*SQRT(M91)*((4*N91+O91)/5),"")</f>
        <v/>
      </c>
      <c r="Q91" s="39" t="n">
        <v>0.6</v>
      </c>
      <c r="R91" s="39" t="n">
        <v>0.7</v>
      </c>
      <c r="S91" s="39" t="n">
        <v>0.55</v>
      </c>
      <c r="T91" s="39" t="n">
        <v>0.68</v>
      </c>
      <c r="U91" s="40">
        <f>IFERROR(((Q91^1.4+T91)/2)*R91*(1-EXP(-4.605*S91)),"")</f>
        <v/>
      </c>
      <c r="V91" s="39" t="n">
        <v>0.58</v>
      </c>
      <c r="W91" s="39" t="n">
        <v>0.62</v>
      </c>
      <c r="X91" s="39" t="n">
        <v>0.6</v>
      </c>
      <c r="Y91" s="39" t="n">
        <v>0.72</v>
      </c>
      <c r="Z91" s="39" t="n">
        <v>0.45</v>
      </c>
      <c r="AA91" s="39" t="n">
        <v>0.7</v>
      </c>
      <c r="AB91" s="40">
        <f>IFERROR(Z91*(Y91*AA91^1.1)^1.1*((3*V91+2*W91+X91)/6)^0.5,"")</f>
        <v/>
      </c>
      <c r="AC91" s="40">
        <f>IFERROR(SQRT(AB91),"")</f>
        <v/>
      </c>
      <c r="AD91" s="39" t="n">
        <v>0.6</v>
      </c>
      <c r="AE91" s="39" t="n">
        <v>0.4</v>
      </c>
      <c r="AF91" s="40">
        <f>IFERROR(AE91*(1-AE91*H91),"")</f>
        <v/>
      </c>
      <c r="AG91" s="39" t="n">
        <v>0.58</v>
      </c>
      <c r="AH91" s="39" t="n">
        <v>0.62</v>
      </c>
      <c r="AI91" s="39" t="n">
        <v>0.68</v>
      </c>
      <c r="AJ91" s="40">
        <f>IFERROR(AH91^2.1*AG91^0.2*(2*AF91+3*AI91+AD91)/6,"")</f>
        <v/>
      </c>
      <c r="AK91" s="40">
        <f>IFERROR(SQRT(AJ91),"")</f>
        <v/>
      </c>
      <c r="AL91" s="39" t="n">
        <v>0.8</v>
      </c>
      <c r="AM91" s="40">
        <f>IFERROR(1-EXP(-AL91),"")</f>
        <v/>
      </c>
      <c r="AN91" s="40">
        <f>IFERROR(4.18*AM91^0.7*(1-AM91)^1.5,"")</f>
        <v/>
      </c>
      <c r="AO91" s="39" t="n">
        <v>0.6</v>
      </c>
      <c r="AP91" s="39" t="n">
        <v>0.48</v>
      </c>
      <c r="AQ91" s="39" t="n">
        <v>0.58</v>
      </c>
      <c r="AR91" s="39" t="n">
        <v>0.72</v>
      </c>
      <c r="AS91" s="40">
        <f>IFERROR(AN91^(1-AO91)*AP91*(4*AQ91*(1-AQ91))*AR91^1.15,"")</f>
        <v/>
      </c>
      <c r="AT91" s="40">
        <f>IFERROR(AS91^(1/3),"")</f>
        <v/>
      </c>
      <c r="AU91" s="39" t="n">
        <v>1.3</v>
      </c>
      <c r="AV91" s="39" t="n">
        <v>2</v>
      </c>
      <c r="AW91" s="40">
        <f>IFERROR(IF(AV91&lt;=1,AU91,AU91*(1+(AV91-1)*0.6)),"")</f>
        <v/>
      </c>
      <c r="AX91" s="39" t="n">
        <v>0.62</v>
      </c>
      <c r="AY91" s="39" t="n">
        <v>0.25</v>
      </c>
      <c r="AZ91" s="41" t="n">
        <v>0.5</v>
      </c>
      <c r="BA91" s="40">
        <f>IFERROR(AZ91/(1-AZ91),"")</f>
        <v/>
      </c>
      <c r="BB91" s="40">
        <f>IFERROR(EXP((P91-0.301)/(0.301*(1-0.301))),"")</f>
        <v/>
      </c>
      <c r="BC91" s="40">
        <f>IFERROR(EXP((U91-0.354)/(0.354*(1-0.354))),"")</f>
        <v/>
      </c>
      <c r="BD91" s="40">
        <f>IFERROR(AW91,"")</f>
        <v/>
      </c>
      <c r="BE91" s="40">
        <f>IFERROR(EXP((AX91-0.75)/(0.75*(1-0.75))),"")</f>
        <v/>
      </c>
      <c r="BF91" s="40">
        <f>IFERROR(EXP((AY91-0.5)/(0.5*(1-0.5))),"")</f>
        <v/>
      </c>
      <c r="BG91" s="40">
        <f>IFERROR(BA91*BB91*BC91*BD91*BE91*BF91,"")</f>
        <v/>
      </c>
      <c r="BH91" s="40">
        <f>IFERROR(BG91/(1+BG91),"")</f>
        <v/>
      </c>
      <c r="BI91" s="40">
        <f>IFERROR(IF(BH91&gt;=1,1E9,BH91/(1-BH91)),"")</f>
        <v/>
      </c>
      <c r="BJ91" s="40">
        <f>IFERROR(EXP((AC91-0.372)/(0.372*(1-0.372))),"")</f>
        <v/>
      </c>
      <c r="BK91" s="40">
        <f>IFERROR(EXP((AK91-0.415)/(0.415*(1-0.415))),"")</f>
        <v/>
      </c>
      <c r="BL91" s="40">
        <f>IFERROR(EXP((AT91-0.405)/(0.405*(1-0.405))),"")</f>
        <v/>
      </c>
      <c r="BM91" s="40">
        <f>IFERROR(BI91*BJ91*BK91*BL91,"")</f>
        <v/>
      </c>
      <c r="BN91" s="40">
        <f>IFERROR(BM91/(1+BM91),"")</f>
        <v/>
      </c>
      <c r="BO91" s="40">
        <f>IFERROR(IF(AC91&gt;=1,0.999,1-EXP(1-(1-AC91)^(-0.8))),"")</f>
        <v/>
      </c>
      <c r="BP91" s="40">
        <f>IFERROR(IF(AK91&gt;=1,0.999,1-EXP(1-(1-AK91)^(-0.75))),"")</f>
        <v/>
      </c>
      <c r="BQ91" s="40">
        <f>IFERROR(1-EXP(-AL91*(1+AL91)),"")</f>
        <v/>
      </c>
      <c r="BR91" s="40">
        <f>IFERROR(BQ91^(1-AO91)*AP91*(4*AQ91*(1-AQ91))*AR91^1.15,"")</f>
        <v/>
      </c>
      <c r="BS91" s="40">
        <f>IFERROR(IF(BR91^(1/3)&gt;=1,0.999,1-EXP(1-(1-BR91^(1/3))^(-0.7))),"")</f>
        <v/>
      </c>
      <c r="BT91" s="40">
        <f>1</f>
        <v/>
      </c>
      <c r="BU91" s="40">
        <f>IFERROR(EXP((BO91-0.372)/(0.372*(1-0.372))),"")</f>
        <v/>
      </c>
      <c r="BV91" s="40">
        <f>IFERROR(EXP((BP91-0.415)/(0.415*(1-0.415))),"")</f>
        <v/>
      </c>
      <c r="BW91" s="40">
        <f>IFERROR(EXP((BS91-0.405)/(0.405*(1-0.405))),"")</f>
        <v/>
      </c>
      <c r="BX91" s="40">
        <f>IFERROR(BT91*BU91*BV91*BW91,"")</f>
        <v/>
      </c>
      <c r="BY91" s="40">
        <f>IFERROR(BX91/(1+BX91),"")</f>
        <v/>
      </c>
      <c r="BZ91" s="40">
        <f>IFERROR(EXP(0.15*(SQRT(BH91)-0.5)/(0.5*0.5)),"")</f>
        <v/>
      </c>
      <c r="CA91" s="40">
        <f>IFERROR(IF(BY91&gt;=1,1E9,BY91/(1-BY91)*BZ91),"")</f>
        <v/>
      </c>
      <c r="CB91" s="40">
        <f>IFERROR(CA91/(1+CA91),"")</f>
        <v/>
      </c>
      <c r="CC91" s="42">
        <f>BH91</f>
        <v/>
      </c>
      <c r="CD91" s="42">
        <f>BN91</f>
        <v/>
      </c>
      <c r="CE91" s="42">
        <f>CB91</f>
        <v/>
      </c>
      <c r="CF91" s="43" t="inlineStr">
        <is>
          <t>Speculative. People increasingly aware. H_f=0.55.</t>
        </is>
      </c>
    </row>
    <row r="92" ht="40" customHeight="1">
      <c r="A92" s="53" t="n">
        <v>90</v>
      </c>
      <c r="B92" s="54" t="inlineStr">
        <is>
          <t>The Moroccan government has legal tools to monitor private communications without the knowledge of the user.</t>
        </is>
      </c>
      <c r="C92" s="53" t="inlineStr">
        <is>
          <t>Technology</t>
        </is>
      </c>
      <c r="D92" s="39" t="n">
        <v>0.75</v>
      </c>
      <c r="E92" s="39" t="n">
        <v>0.75</v>
      </c>
      <c r="F92" s="39" t="n">
        <v>0.68</v>
      </c>
      <c r="G92" s="39" t="n">
        <v>0.73</v>
      </c>
      <c r="H92" s="40">
        <f>IFERROR(AVERAGE(D92,E92,F92,G92),"")</f>
        <v/>
      </c>
      <c r="I92" s="39" t="n">
        <v>0.68</v>
      </c>
      <c r="J92" s="39" t="n">
        <v>0.65</v>
      </c>
      <c r="K92" s="39" t="n">
        <v>0.65</v>
      </c>
      <c r="L92" s="39" t="n">
        <v>0.62</v>
      </c>
      <c r="M92" s="40">
        <f>IFERROR(AVERAGE(I92,J92,K92,L92),"")</f>
        <v/>
      </c>
      <c r="N92" s="39" t="n">
        <v>0.58</v>
      </c>
      <c r="O92" s="39" t="n">
        <v>0.68</v>
      </c>
      <c r="P92" s="40">
        <f>IFERROR(IF(H92=0,0,H92^(H92^(-0.5)))*SQRT(M92)*((4*N92+O92)/5),"")</f>
        <v/>
      </c>
      <c r="Q92" s="39" t="n">
        <v>0.45</v>
      </c>
      <c r="R92" s="39" t="n">
        <v>0.82</v>
      </c>
      <c r="S92" s="39" t="n">
        <v>0.78</v>
      </c>
      <c r="T92" s="39" t="n">
        <v>0.75</v>
      </c>
      <c r="U92" s="40">
        <f>IFERROR(((Q92^1.4+T92)/2)*R92*(1-EXP(-4.605*S92)),"")</f>
        <v/>
      </c>
      <c r="V92" s="39" t="n">
        <v>0.58</v>
      </c>
      <c r="W92" s="39" t="n">
        <v>0.62</v>
      </c>
      <c r="X92" s="39" t="n">
        <v>0.6</v>
      </c>
      <c r="Y92" s="39" t="n">
        <v>0.65</v>
      </c>
      <c r="Z92" s="39" t="n">
        <v>0.48</v>
      </c>
      <c r="AA92" s="39" t="n">
        <v>0.68</v>
      </c>
      <c r="AB92" s="40">
        <f>IFERROR(Z92*(Y92*AA92^1.1)^1.1*((3*V92+2*W92+X92)/6)^0.5,"")</f>
        <v/>
      </c>
      <c r="AC92" s="40">
        <f>IFERROR(SQRT(AB92),"")</f>
        <v/>
      </c>
      <c r="AD92" s="39" t="n">
        <v>0.62</v>
      </c>
      <c r="AE92" s="39" t="n">
        <v>0.42</v>
      </c>
      <c r="AF92" s="40">
        <f>IFERROR(AE92*(1-AE92*H92),"")</f>
        <v/>
      </c>
      <c r="AG92" s="39" t="n">
        <v>0.58</v>
      </c>
      <c r="AH92" s="39" t="n">
        <v>0.72</v>
      </c>
      <c r="AI92" s="39" t="n">
        <v>0.68</v>
      </c>
      <c r="AJ92" s="40">
        <f>IFERROR(AH92^2.1*AG92^0.2*(2*AF92+3*AI92+AD92)/6,"")</f>
        <v/>
      </c>
      <c r="AK92" s="40">
        <f>IFERROR(SQRT(AJ92),"")</f>
        <v/>
      </c>
      <c r="AL92" s="39" t="n">
        <v>0.55</v>
      </c>
      <c r="AM92" s="40">
        <f>IFERROR(1-EXP(-AL92),"")</f>
        <v/>
      </c>
      <c r="AN92" s="40">
        <f>IFERROR(4.18*AM92^0.7*(1-AM92)^1.5,"")</f>
        <v/>
      </c>
      <c r="AO92" s="39" t="n">
        <v>0.62</v>
      </c>
      <c r="AP92" s="39" t="n">
        <v>0.5</v>
      </c>
      <c r="AQ92" s="39" t="n">
        <v>0.58</v>
      </c>
      <c r="AR92" s="39" t="n">
        <v>0.72</v>
      </c>
      <c r="AS92" s="40">
        <f>IFERROR(AN92^(1-AO92)*AP92*(4*AQ92*(1-AQ92))*AR92^1.15,"")</f>
        <v/>
      </c>
      <c r="AT92" s="40">
        <f>IFERROR(AS92^(1/3),"")</f>
        <v/>
      </c>
      <c r="AU92" s="39" t="n">
        <v>1.6</v>
      </c>
      <c r="AV92" s="39" t="n">
        <v>2</v>
      </c>
      <c r="AW92" s="40">
        <f>IFERROR(IF(AV92&lt;=1,AU92,AU92*(1+(AV92-1)*0.6)),"")</f>
        <v/>
      </c>
      <c r="AX92" s="39" t="n">
        <v>0.8</v>
      </c>
      <c r="AY92" s="39" t="n">
        <v>0.38</v>
      </c>
      <c r="AZ92" s="41" t="n">
        <v>0.5</v>
      </c>
      <c r="BA92" s="40">
        <f>IFERROR(AZ92/(1-AZ92),"")</f>
        <v/>
      </c>
      <c r="BB92" s="40">
        <f>IFERROR(EXP((P92-0.301)/(0.301*(1-0.301))),"")</f>
        <v/>
      </c>
      <c r="BC92" s="40">
        <f>IFERROR(EXP((U92-0.354)/(0.354*(1-0.354))),"")</f>
        <v/>
      </c>
      <c r="BD92" s="40">
        <f>IFERROR(AW92,"")</f>
        <v/>
      </c>
      <c r="BE92" s="40">
        <f>IFERROR(EXP((AX92-0.75)/(0.75*(1-0.75))),"")</f>
        <v/>
      </c>
      <c r="BF92" s="40">
        <f>IFERROR(EXP((AY92-0.5)/(0.5*(1-0.5))),"")</f>
        <v/>
      </c>
      <c r="BG92" s="40">
        <f>IFERROR(BA92*BB92*BC92*BD92*BE92*BF92,"")</f>
        <v/>
      </c>
      <c r="BH92" s="40">
        <f>IFERROR(BG92/(1+BG92),"")</f>
        <v/>
      </c>
      <c r="BI92" s="40">
        <f>IFERROR(IF(BH92&gt;=1,1E9,BH92/(1-BH92)),"")</f>
        <v/>
      </c>
      <c r="BJ92" s="40">
        <f>IFERROR(EXP((AC92-0.372)/(0.372*(1-0.372))),"")</f>
        <v/>
      </c>
      <c r="BK92" s="40">
        <f>IFERROR(EXP((AK92-0.415)/(0.415*(1-0.415))),"")</f>
        <v/>
      </c>
      <c r="BL92" s="40">
        <f>IFERROR(EXP((AT92-0.405)/(0.405*(1-0.405))),"")</f>
        <v/>
      </c>
      <c r="BM92" s="40">
        <f>IFERROR(BI92*BJ92*BK92*BL92,"")</f>
        <v/>
      </c>
      <c r="BN92" s="40">
        <f>IFERROR(BM92/(1+BM92),"")</f>
        <v/>
      </c>
      <c r="BO92" s="40">
        <f>IFERROR(IF(AC92&gt;=1,0.999,1-EXP(1-(1-AC92)^(-0.8))),"")</f>
        <v/>
      </c>
      <c r="BP92" s="40">
        <f>IFERROR(IF(AK92&gt;=1,0.999,1-EXP(1-(1-AK92)^(-0.75))),"")</f>
        <v/>
      </c>
      <c r="BQ92" s="40">
        <f>IFERROR(1-EXP(-AL92*(1+AL92)),"")</f>
        <v/>
      </c>
      <c r="BR92" s="40">
        <f>IFERROR(BQ92^(1-AO92)*AP92*(4*AQ92*(1-AQ92))*AR92^1.15,"")</f>
        <v/>
      </c>
      <c r="BS92" s="40">
        <f>IFERROR(IF(BR92^(1/3)&gt;=1,0.999,1-EXP(1-(1-BR92^(1/3))^(-0.7))),"")</f>
        <v/>
      </c>
      <c r="BT92" s="40">
        <f>1</f>
        <v/>
      </c>
      <c r="BU92" s="40">
        <f>IFERROR(EXP((BO92-0.372)/(0.372*(1-0.372))),"")</f>
        <v/>
      </c>
      <c r="BV92" s="40">
        <f>IFERROR(EXP((BP92-0.415)/(0.415*(1-0.415))),"")</f>
        <v/>
      </c>
      <c r="BW92" s="40">
        <f>IFERROR(EXP((BS92-0.405)/(0.405*(1-0.405))),"")</f>
        <v/>
      </c>
      <c r="BX92" s="40">
        <f>IFERROR(BT92*BU92*BV92*BW92,"")</f>
        <v/>
      </c>
      <c r="BY92" s="40">
        <f>IFERROR(BX92/(1+BX92),"")</f>
        <v/>
      </c>
      <c r="BZ92" s="40">
        <f>IFERROR(EXP(0.15*(SQRT(BH92)-0.5)/(0.5*0.5)),"")</f>
        <v/>
      </c>
      <c r="CA92" s="40">
        <f>IFERROR(IF(BY92&gt;=1,1E9,BY92/(1-BY92)*BZ92),"")</f>
        <v/>
      </c>
      <c r="CB92" s="40">
        <f>IFERROR(CA92/(1+CA92),"")</f>
        <v/>
      </c>
      <c r="CC92" s="42">
        <f>BH92</f>
        <v/>
      </c>
      <c r="CD92" s="42">
        <f>BN92</f>
        <v/>
      </c>
      <c r="CE92" s="42">
        <f>CB92</f>
        <v/>
      </c>
      <c r="CF92" s="43" t="inlineStr">
        <is>
          <t>True. Decently known. Low moderate personal risk concern.</t>
        </is>
      </c>
    </row>
    <row r="93" ht="40" customHeight="1">
      <c r="A93" s="53" t="n">
        <v>91</v>
      </c>
      <c r="B93" s="54" t="inlineStr">
        <is>
          <t>Most young Moroccans now get their news from Instagram and TikTok before they ever check a newspaper or watch the evening news.</t>
        </is>
      </c>
      <c r="C93" s="53" t="inlineStr">
        <is>
          <t>Technology</t>
        </is>
      </c>
      <c r="D93" s="39" t="n">
        <v>0.85</v>
      </c>
      <c r="E93" s="39" t="n">
        <v>0.85</v>
      </c>
      <c r="F93" s="39" t="n">
        <v>0.82</v>
      </c>
      <c r="G93" s="39" t="n">
        <v>0.85</v>
      </c>
      <c r="H93" s="40">
        <f>IFERROR(AVERAGE(D93,E93,F93,G93),"")</f>
        <v/>
      </c>
      <c r="I93" s="39" t="n">
        <v>0.72</v>
      </c>
      <c r="J93" s="39" t="n">
        <v>0.68</v>
      </c>
      <c r="K93" s="39" t="n">
        <v>0.7</v>
      </c>
      <c r="L93" s="39" t="n">
        <v>0.65</v>
      </c>
      <c r="M93" s="40">
        <f>IFERROR(AVERAGE(I93,J93,K93,L93),"")</f>
        <v/>
      </c>
      <c r="N93" s="39" t="n">
        <v>0.62</v>
      </c>
      <c r="O93" s="39" t="n">
        <v>0.78</v>
      </c>
      <c r="P93" s="40">
        <f>IFERROR(IF(H93=0,0,H93^(H93^(-0.5)))*SQRT(M93)*((4*N93+O93)/5),"")</f>
        <v/>
      </c>
      <c r="Q93" s="39" t="n">
        <v>0.35</v>
      </c>
      <c r="R93" s="39" t="n">
        <v>0.88</v>
      </c>
      <c r="S93" s="39" t="n">
        <v>0.85</v>
      </c>
      <c r="T93" s="39" t="n">
        <v>0.82</v>
      </c>
      <c r="U93" s="40">
        <f>IFERROR(((Q93^1.4+T93)/2)*R93*(1-EXP(-4.605*S93)),"")</f>
        <v/>
      </c>
      <c r="V93" s="39" t="n">
        <v>0.65</v>
      </c>
      <c r="W93" s="39" t="n">
        <v>0.7</v>
      </c>
      <c r="X93" s="39" t="n">
        <v>0.6</v>
      </c>
      <c r="Y93" s="39" t="n">
        <v>0.72</v>
      </c>
      <c r="Z93" s="39" t="n">
        <v>0.5</v>
      </c>
      <c r="AA93" s="39" t="n">
        <v>0.72</v>
      </c>
      <c r="AB93" s="40">
        <f>IFERROR(Z93*(Y93*AA93^1.1)^1.1*((3*V93+2*W93+X93)/6)^0.5,"")</f>
        <v/>
      </c>
      <c r="AC93" s="40">
        <f>IFERROR(SQRT(AB93),"")</f>
        <v/>
      </c>
      <c r="AD93" s="39" t="n">
        <v>0.68</v>
      </c>
      <c r="AE93" s="39" t="n">
        <v>0.5</v>
      </c>
      <c r="AF93" s="40">
        <f>IFERROR(AE93*(1-AE93*H93),"")</f>
        <v/>
      </c>
      <c r="AG93" s="39" t="n">
        <v>0.65</v>
      </c>
      <c r="AH93" s="39" t="n">
        <v>0.8</v>
      </c>
      <c r="AI93" s="39" t="n">
        <v>0.7</v>
      </c>
      <c r="AJ93" s="40">
        <f>IFERROR(AH93^2.1*AG93^0.2*(2*AF93+3*AI93+AD93)/6,"")</f>
        <v/>
      </c>
      <c r="AK93" s="40">
        <f>IFERROR(SQRT(AJ93),"")</f>
        <v/>
      </c>
      <c r="AL93" s="39" t="n">
        <v>0.25</v>
      </c>
      <c r="AM93" s="40">
        <f>IFERROR(1-EXP(-AL93),"")</f>
        <v/>
      </c>
      <c r="AN93" s="40">
        <f>IFERROR(4.18*AM93^0.7*(1-AM93)^1.5,"")</f>
        <v/>
      </c>
      <c r="AO93" s="39" t="n">
        <v>0.65</v>
      </c>
      <c r="AP93" s="39" t="n">
        <v>0.52</v>
      </c>
      <c r="AQ93" s="39" t="n">
        <v>0.6</v>
      </c>
      <c r="AR93" s="39" t="n">
        <v>0.78</v>
      </c>
      <c r="AS93" s="40">
        <f>IFERROR(AN93^(1-AO93)*AP93*(4*AQ93*(1-AQ93))*AR93^1.15,"")</f>
        <v/>
      </c>
      <c r="AT93" s="40">
        <f>IFERROR(AS93^(1/3),"")</f>
        <v/>
      </c>
      <c r="AU93" s="39" t="n">
        <v>2</v>
      </c>
      <c r="AV93" s="39" t="n">
        <v>3</v>
      </c>
      <c r="AW93" s="40">
        <f>IFERROR(IF(AV93&lt;=1,AU93,AU93*(1+(AV93-1)*0.6)),"")</f>
        <v/>
      </c>
      <c r="AX93" s="39" t="n">
        <v>0.88</v>
      </c>
      <c r="AY93" s="39" t="n">
        <v>0.5</v>
      </c>
      <c r="AZ93" s="41" t="n">
        <v>0.5</v>
      </c>
      <c r="BA93" s="40">
        <f>IFERROR(AZ93/(1-AZ93),"")</f>
        <v/>
      </c>
      <c r="BB93" s="40">
        <f>IFERROR(EXP((P93-0.301)/(0.301*(1-0.301))),"")</f>
        <v/>
      </c>
      <c r="BC93" s="40">
        <f>IFERROR(EXP((U93-0.354)/(0.354*(1-0.354))),"")</f>
        <v/>
      </c>
      <c r="BD93" s="40">
        <f>IFERROR(AW93,"")</f>
        <v/>
      </c>
      <c r="BE93" s="40">
        <f>IFERROR(EXP((AX93-0.75)/(0.75*(1-0.75))),"")</f>
        <v/>
      </c>
      <c r="BF93" s="40">
        <f>IFERROR(EXP((AY93-0.5)/(0.5*(1-0.5))),"")</f>
        <v/>
      </c>
      <c r="BG93" s="40">
        <f>IFERROR(BA93*BB93*BC93*BD93*BE93*BF93,"")</f>
        <v/>
      </c>
      <c r="BH93" s="40">
        <f>IFERROR(BG93/(1+BG93),"")</f>
        <v/>
      </c>
      <c r="BI93" s="40">
        <f>IFERROR(IF(BH93&gt;=1,1E9,BH93/(1-BH93)),"")</f>
        <v/>
      </c>
      <c r="BJ93" s="40">
        <f>IFERROR(EXP((AC93-0.372)/(0.372*(1-0.372))),"")</f>
        <v/>
      </c>
      <c r="BK93" s="40">
        <f>IFERROR(EXP((AK93-0.415)/(0.415*(1-0.415))),"")</f>
        <v/>
      </c>
      <c r="BL93" s="40">
        <f>IFERROR(EXP((AT93-0.405)/(0.405*(1-0.405))),"")</f>
        <v/>
      </c>
      <c r="BM93" s="40">
        <f>IFERROR(BI93*BJ93*BK93*BL93,"")</f>
        <v/>
      </c>
      <c r="BN93" s="40">
        <f>IFERROR(BM93/(1+BM93),"")</f>
        <v/>
      </c>
      <c r="BO93" s="40">
        <f>IFERROR(IF(AC93&gt;=1,0.999,1-EXP(1-(1-AC93)^(-0.8))),"")</f>
        <v/>
      </c>
      <c r="BP93" s="40">
        <f>IFERROR(IF(AK93&gt;=1,0.999,1-EXP(1-(1-AK93)^(-0.75))),"")</f>
        <v/>
      </c>
      <c r="BQ93" s="40">
        <f>IFERROR(1-EXP(-AL93*(1+AL93)),"")</f>
        <v/>
      </c>
      <c r="BR93" s="40">
        <f>IFERROR(BQ93^(1-AO93)*AP93*(4*AQ93*(1-AQ93))*AR93^1.15,"")</f>
        <v/>
      </c>
      <c r="BS93" s="40">
        <f>IFERROR(IF(BR93^(1/3)&gt;=1,0.999,1-EXP(1-(1-BR93^(1/3))^(-0.7))),"")</f>
        <v/>
      </c>
      <c r="BT93" s="40">
        <f>1</f>
        <v/>
      </c>
      <c r="BU93" s="40">
        <f>IFERROR(EXP((BO93-0.372)/(0.372*(1-0.372))),"")</f>
        <v/>
      </c>
      <c r="BV93" s="40">
        <f>IFERROR(EXP((BP93-0.415)/(0.415*(1-0.415))),"")</f>
        <v/>
      </c>
      <c r="BW93" s="40">
        <f>IFERROR(EXP((BS93-0.405)/(0.405*(1-0.405))),"")</f>
        <v/>
      </c>
      <c r="BX93" s="40">
        <f>IFERROR(BT93*BU93*BV93*BW93,"")</f>
        <v/>
      </c>
      <c r="BY93" s="40">
        <f>IFERROR(BX93/(1+BX93),"")</f>
        <v/>
      </c>
      <c r="BZ93" s="40">
        <f>IFERROR(EXP(0.15*(SQRT(BH93)-0.5)/(0.5*0.5)),"")</f>
        <v/>
      </c>
      <c r="CA93" s="40">
        <f>IFERROR(IF(BY93&gt;=1,1E9,BY93/(1-BY93)*BZ93),"")</f>
        <v/>
      </c>
      <c r="CB93" s="40">
        <f>IFERROR(CA93/(1+CA93),"")</f>
        <v/>
      </c>
      <c r="CC93" s="42">
        <f>BH93</f>
        <v/>
      </c>
      <c r="CD93" s="42">
        <f>BN93</f>
        <v/>
      </c>
      <c r="CE93" s="42">
        <f>CB93</f>
        <v/>
      </c>
      <c r="CF93" s="43" t="inlineStr">
        <is>
          <t>True. Receiver's own experience. Very felt.</t>
        </is>
      </c>
    </row>
    <row r="94" ht="40" customHeight="1">
      <c r="A94" s="53" t="n">
        <v>92</v>
      </c>
      <c r="B94" s="54" t="inlineStr">
        <is>
          <t>The big three telecom operators in Morocco — Maroc Telecom, Orange, and Inwi — keep prices similar enough that switching between them rarely actually saves you money.</t>
        </is>
      </c>
      <c r="C94" s="53" t="inlineStr">
        <is>
          <t>Technology</t>
        </is>
      </c>
      <c r="D94" s="39" t="n">
        <v>0.82</v>
      </c>
      <c r="E94" s="39" t="n">
        <v>0.78</v>
      </c>
      <c r="F94" s="39" t="n">
        <v>0.78</v>
      </c>
      <c r="G94" s="39" t="n">
        <v>0.8</v>
      </c>
      <c r="H94" s="40">
        <f>IFERROR(AVERAGE(D94,E94,F94,G94),"")</f>
        <v/>
      </c>
      <c r="I94" s="39" t="n">
        <v>0.65</v>
      </c>
      <c r="J94" s="39" t="n">
        <v>0.62</v>
      </c>
      <c r="K94" s="39" t="n">
        <v>0.65</v>
      </c>
      <c r="L94" s="39" t="n">
        <v>0.6</v>
      </c>
      <c r="M94" s="40">
        <f>IFERROR(AVERAGE(I94,J94,K94,L94),"")</f>
        <v/>
      </c>
      <c r="N94" s="39" t="n">
        <v>0.52</v>
      </c>
      <c r="O94" s="39" t="n">
        <v>0.72</v>
      </c>
      <c r="P94" s="40">
        <f>IFERROR(IF(H94=0,0,H94^(H94^(-0.5)))*SQRT(M94)*((4*N94+O94)/5),"")</f>
        <v/>
      </c>
      <c r="Q94" s="39" t="n">
        <v>0.45</v>
      </c>
      <c r="R94" s="39" t="n">
        <v>0.82</v>
      </c>
      <c r="S94" s="39" t="n">
        <v>0.8</v>
      </c>
      <c r="T94" s="39" t="n">
        <v>0.78</v>
      </c>
      <c r="U94" s="40">
        <f>IFERROR(((Q94^1.4+T94)/2)*R94*(1-EXP(-4.605*S94)),"")</f>
        <v/>
      </c>
      <c r="V94" s="39" t="n">
        <v>0.6</v>
      </c>
      <c r="W94" s="39" t="n">
        <v>0.65</v>
      </c>
      <c r="X94" s="39" t="n">
        <v>0.6</v>
      </c>
      <c r="Y94" s="39" t="n">
        <v>0.65</v>
      </c>
      <c r="Z94" s="39" t="n">
        <v>0.45</v>
      </c>
      <c r="AA94" s="39" t="n">
        <v>0.68</v>
      </c>
      <c r="AB94" s="40">
        <f>IFERROR(Z94*(Y94*AA94^1.1)^1.1*((3*V94+2*W94+X94)/6)^0.5,"")</f>
        <v/>
      </c>
      <c r="AC94" s="40">
        <f>IFERROR(SQRT(AB94),"")</f>
        <v/>
      </c>
      <c r="AD94" s="39" t="n">
        <v>0.62</v>
      </c>
      <c r="AE94" s="39" t="n">
        <v>0.42</v>
      </c>
      <c r="AF94" s="40">
        <f>IFERROR(AE94*(1-AE94*H94),"")</f>
        <v/>
      </c>
      <c r="AG94" s="39" t="n">
        <v>0.58</v>
      </c>
      <c r="AH94" s="39" t="n">
        <v>0.78</v>
      </c>
      <c r="AI94" s="39" t="n">
        <v>0.68</v>
      </c>
      <c r="AJ94" s="40">
        <f>IFERROR(AH94^2.1*AG94^0.2*(2*AF94+3*AI94+AD94)/6,"")</f>
        <v/>
      </c>
      <c r="AK94" s="40">
        <f>IFERROR(SQRT(AJ94),"")</f>
        <v/>
      </c>
      <c r="AL94" s="39" t="n">
        <v>0.3</v>
      </c>
      <c r="AM94" s="40">
        <f>IFERROR(1-EXP(-AL94),"")</f>
        <v/>
      </c>
      <c r="AN94" s="40">
        <f>IFERROR(4.18*AM94^0.7*(1-AM94)^1.5,"")</f>
        <v/>
      </c>
      <c r="AO94" s="39" t="n">
        <v>0.62</v>
      </c>
      <c r="AP94" s="39" t="n">
        <v>0.52</v>
      </c>
      <c r="AQ94" s="39" t="n">
        <v>0.6</v>
      </c>
      <c r="AR94" s="39" t="n">
        <v>0.78</v>
      </c>
      <c r="AS94" s="40">
        <f>IFERROR(AN94^(1-AO94)*AP94*(4*AQ94*(1-AQ94))*AR94^1.15,"")</f>
        <v/>
      </c>
      <c r="AT94" s="40">
        <f>IFERROR(AS94^(1/3),"")</f>
        <v/>
      </c>
      <c r="AU94" s="39" t="n">
        <v>1.5</v>
      </c>
      <c r="AV94" s="39" t="n">
        <v>2</v>
      </c>
      <c r="AW94" s="40">
        <f>IFERROR(IF(AV94&lt;=1,AU94,AU94*(1+(AV94-1)*0.6)),"")</f>
        <v/>
      </c>
      <c r="AX94" s="39" t="n">
        <v>0.8</v>
      </c>
      <c r="AY94" s="39" t="n">
        <v>0.35</v>
      </c>
      <c r="AZ94" s="41" t="n">
        <v>0.5</v>
      </c>
      <c r="BA94" s="40">
        <f>IFERROR(AZ94/(1-AZ94),"")</f>
        <v/>
      </c>
      <c r="BB94" s="40">
        <f>IFERROR(EXP((P94-0.301)/(0.301*(1-0.301))),"")</f>
        <v/>
      </c>
      <c r="BC94" s="40">
        <f>IFERROR(EXP((U94-0.354)/(0.354*(1-0.354))),"")</f>
        <v/>
      </c>
      <c r="BD94" s="40">
        <f>IFERROR(AW94,"")</f>
        <v/>
      </c>
      <c r="BE94" s="40">
        <f>IFERROR(EXP((AX94-0.75)/(0.75*(1-0.75))),"")</f>
        <v/>
      </c>
      <c r="BF94" s="40">
        <f>IFERROR(EXP((AY94-0.5)/(0.5*(1-0.5))),"")</f>
        <v/>
      </c>
      <c r="BG94" s="40">
        <f>IFERROR(BA94*BB94*BC94*BD94*BE94*BF94,"")</f>
        <v/>
      </c>
      <c r="BH94" s="40">
        <f>IFERROR(BG94/(1+BG94),"")</f>
        <v/>
      </c>
      <c r="BI94" s="40">
        <f>IFERROR(IF(BH94&gt;=1,1E9,BH94/(1-BH94)),"")</f>
        <v/>
      </c>
      <c r="BJ94" s="40">
        <f>IFERROR(EXP((AC94-0.372)/(0.372*(1-0.372))),"")</f>
        <v/>
      </c>
      <c r="BK94" s="40">
        <f>IFERROR(EXP((AK94-0.415)/(0.415*(1-0.415))),"")</f>
        <v/>
      </c>
      <c r="BL94" s="40">
        <f>IFERROR(EXP((AT94-0.405)/(0.405*(1-0.405))),"")</f>
        <v/>
      </c>
      <c r="BM94" s="40">
        <f>IFERROR(BI94*BJ94*BK94*BL94,"")</f>
        <v/>
      </c>
      <c r="BN94" s="40">
        <f>IFERROR(BM94/(1+BM94),"")</f>
        <v/>
      </c>
      <c r="BO94" s="40">
        <f>IFERROR(IF(AC94&gt;=1,0.999,1-EXP(1-(1-AC94)^(-0.8))),"")</f>
        <v/>
      </c>
      <c r="BP94" s="40">
        <f>IFERROR(IF(AK94&gt;=1,0.999,1-EXP(1-(1-AK94)^(-0.75))),"")</f>
        <v/>
      </c>
      <c r="BQ94" s="40">
        <f>IFERROR(1-EXP(-AL94*(1+AL94)),"")</f>
        <v/>
      </c>
      <c r="BR94" s="40">
        <f>IFERROR(BQ94^(1-AO94)*AP94*(4*AQ94*(1-AQ94))*AR94^1.15,"")</f>
        <v/>
      </c>
      <c r="BS94" s="40">
        <f>IFERROR(IF(BR94^(1/3)&gt;=1,0.999,1-EXP(1-(1-BR94^(1/3))^(-0.7))),"")</f>
        <v/>
      </c>
      <c r="BT94" s="40">
        <f>1</f>
        <v/>
      </c>
      <c r="BU94" s="40">
        <f>IFERROR(EXP((BO94-0.372)/(0.372*(1-0.372))),"")</f>
        <v/>
      </c>
      <c r="BV94" s="40">
        <f>IFERROR(EXP((BP94-0.415)/(0.415*(1-0.415))),"")</f>
        <v/>
      </c>
      <c r="BW94" s="40">
        <f>IFERROR(EXP((BS94-0.405)/(0.405*(1-0.405))),"")</f>
        <v/>
      </c>
      <c r="BX94" s="40">
        <f>IFERROR(BT94*BU94*BV94*BW94,"")</f>
        <v/>
      </c>
      <c r="BY94" s="40">
        <f>IFERROR(BX94/(1+BX94),"")</f>
        <v/>
      </c>
      <c r="BZ94" s="40">
        <f>IFERROR(EXP(0.15*(SQRT(BH94)-0.5)/(0.5*0.5)),"")</f>
        <v/>
      </c>
      <c r="CA94" s="40">
        <f>IFERROR(IF(BY94&gt;=1,1E9,BY94/(1-BY94)*BZ94),"")</f>
        <v/>
      </c>
      <c r="CB94" s="40">
        <f>IFERROR(CA94/(1+CA94),"")</f>
        <v/>
      </c>
      <c r="CC94" s="42">
        <f>BH94</f>
        <v/>
      </c>
      <c r="CD94" s="42">
        <f>BN94</f>
        <v/>
      </c>
      <c r="CE94" s="42">
        <f>CB94</f>
        <v/>
      </c>
      <c r="CF94" s="43" t="inlineStr">
        <is>
          <t>Very felt. Widely agreed. Personal lived experience.</t>
        </is>
      </c>
    </row>
    <row r="95" ht="40" customHeight="1">
      <c r="A95" s="53" t="n">
        <v>93</v>
      </c>
      <c r="B95" s="54" t="inlineStr">
        <is>
          <t>Fake job offers and crypto investment scams targeting Moroccans through WhatsApp and Facebook have become noticeably more common in the last couple of years.</t>
        </is>
      </c>
      <c r="C95" s="53" t="inlineStr">
        <is>
          <t>Technology</t>
        </is>
      </c>
      <c r="D95" s="39" t="n">
        <v>0.85</v>
      </c>
      <c r="E95" s="39" t="n">
        <v>0.85</v>
      </c>
      <c r="F95" s="39" t="n">
        <v>0.82</v>
      </c>
      <c r="G95" s="39" t="n">
        <v>0.85</v>
      </c>
      <c r="H95" s="40">
        <f>IFERROR(AVERAGE(D95,E95,F95,G95),"")</f>
        <v/>
      </c>
      <c r="I95" s="39" t="n">
        <v>0.72</v>
      </c>
      <c r="J95" s="39" t="n">
        <v>0.68</v>
      </c>
      <c r="K95" s="39" t="n">
        <v>0.7</v>
      </c>
      <c r="L95" s="39" t="n">
        <v>0.65</v>
      </c>
      <c r="M95" s="40">
        <f>IFERROR(AVERAGE(I95,J95,K95,L95),"")</f>
        <v/>
      </c>
      <c r="N95" s="39" t="n">
        <v>0.62</v>
      </c>
      <c r="O95" s="39" t="n">
        <v>0.78</v>
      </c>
      <c r="P95" s="40">
        <f>IFERROR(IF(H95=0,0,H95^(H95^(-0.5)))*SQRT(M95)*((4*N95+O95)/5),"")</f>
        <v/>
      </c>
      <c r="Q95" s="39" t="n">
        <v>0.38</v>
      </c>
      <c r="R95" s="39" t="n">
        <v>0.88</v>
      </c>
      <c r="S95" s="39" t="n">
        <v>0.85</v>
      </c>
      <c r="T95" s="39" t="n">
        <v>0.82</v>
      </c>
      <c r="U95" s="40">
        <f>IFERROR(((Q95^1.4+T95)/2)*R95*(1-EXP(-4.605*S95)),"")</f>
        <v/>
      </c>
      <c r="V95" s="39" t="n">
        <v>0.65</v>
      </c>
      <c r="W95" s="39" t="n">
        <v>0.7</v>
      </c>
      <c r="X95" s="39" t="n">
        <v>0.6</v>
      </c>
      <c r="Y95" s="39" t="n">
        <v>0.7</v>
      </c>
      <c r="Z95" s="39" t="n">
        <v>0.5</v>
      </c>
      <c r="AA95" s="39" t="n">
        <v>0.72</v>
      </c>
      <c r="AB95" s="40">
        <f>IFERROR(Z95*(Y95*AA95^1.1)^1.1*((3*V95+2*W95+X95)/6)^0.5,"")</f>
        <v/>
      </c>
      <c r="AC95" s="40">
        <f>IFERROR(SQRT(AB95),"")</f>
        <v/>
      </c>
      <c r="AD95" s="39" t="n">
        <v>0.68</v>
      </c>
      <c r="AE95" s="39" t="n">
        <v>0.5</v>
      </c>
      <c r="AF95" s="40">
        <f>IFERROR(AE95*(1-AE95*H95),"")</f>
        <v/>
      </c>
      <c r="AG95" s="39" t="n">
        <v>0.65</v>
      </c>
      <c r="AH95" s="39" t="n">
        <v>0.82</v>
      </c>
      <c r="AI95" s="39" t="n">
        <v>0.7</v>
      </c>
      <c r="AJ95" s="40">
        <f>IFERROR(AH95^2.1*AG95^0.2*(2*AF95+3*AI95+AD95)/6,"")</f>
        <v/>
      </c>
      <c r="AK95" s="40">
        <f>IFERROR(SQRT(AJ95),"")</f>
        <v/>
      </c>
      <c r="AL95" s="39" t="n">
        <v>0.3</v>
      </c>
      <c r="AM95" s="40">
        <f>IFERROR(1-EXP(-AL95),"")</f>
        <v/>
      </c>
      <c r="AN95" s="40">
        <f>IFERROR(4.18*AM95^0.7*(1-AM95)^1.5,"")</f>
        <v/>
      </c>
      <c r="AO95" s="39" t="n">
        <v>0.65</v>
      </c>
      <c r="AP95" s="39" t="n">
        <v>0.52</v>
      </c>
      <c r="AQ95" s="39" t="n">
        <v>0.6</v>
      </c>
      <c r="AR95" s="39" t="n">
        <v>0.75</v>
      </c>
      <c r="AS95" s="40">
        <f>IFERROR(AN95^(1-AO95)*AP95*(4*AQ95*(1-AQ95))*AR95^1.15,"")</f>
        <v/>
      </c>
      <c r="AT95" s="40">
        <f>IFERROR(AS95^(1/3),"")</f>
        <v/>
      </c>
      <c r="AU95" s="39" t="n">
        <v>1.8</v>
      </c>
      <c r="AV95" s="39" t="n">
        <v>2</v>
      </c>
      <c r="AW95" s="40">
        <f>IFERROR(IF(AV95&lt;=1,AU95,AU95*(1+(AV95-1)*0.6)),"")</f>
        <v/>
      </c>
      <c r="AX95" s="39" t="n">
        <v>0.88</v>
      </c>
      <c r="AY95" s="39" t="n">
        <v>0.48</v>
      </c>
      <c r="AZ95" s="41" t="n">
        <v>0.5</v>
      </c>
      <c r="BA95" s="40">
        <f>IFERROR(AZ95/(1-AZ95),"")</f>
        <v/>
      </c>
      <c r="BB95" s="40">
        <f>IFERROR(EXP((P95-0.301)/(0.301*(1-0.301))),"")</f>
        <v/>
      </c>
      <c r="BC95" s="40">
        <f>IFERROR(EXP((U95-0.354)/(0.354*(1-0.354))),"")</f>
        <v/>
      </c>
      <c r="BD95" s="40">
        <f>IFERROR(AW95,"")</f>
        <v/>
      </c>
      <c r="BE95" s="40">
        <f>IFERROR(EXP((AX95-0.75)/(0.75*(1-0.75))),"")</f>
        <v/>
      </c>
      <c r="BF95" s="40">
        <f>IFERROR(EXP((AY95-0.5)/(0.5*(1-0.5))),"")</f>
        <v/>
      </c>
      <c r="BG95" s="40">
        <f>IFERROR(BA95*BB95*BC95*BD95*BE95*BF95,"")</f>
        <v/>
      </c>
      <c r="BH95" s="40">
        <f>IFERROR(BG95/(1+BG95),"")</f>
        <v/>
      </c>
      <c r="BI95" s="40">
        <f>IFERROR(IF(BH95&gt;=1,1E9,BH95/(1-BH95)),"")</f>
        <v/>
      </c>
      <c r="BJ95" s="40">
        <f>IFERROR(EXP((AC95-0.372)/(0.372*(1-0.372))),"")</f>
        <v/>
      </c>
      <c r="BK95" s="40">
        <f>IFERROR(EXP((AK95-0.415)/(0.415*(1-0.415))),"")</f>
        <v/>
      </c>
      <c r="BL95" s="40">
        <f>IFERROR(EXP((AT95-0.405)/(0.405*(1-0.405))),"")</f>
        <v/>
      </c>
      <c r="BM95" s="40">
        <f>IFERROR(BI95*BJ95*BK95*BL95,"")</f>
        <v/>
      </c>
      <c r="BN95" s="40">
        <f>IFERROR(BM95/(1+BM95),"")</f>
        <v/>
      </c>
      <c r="BO95" s="40">
        <f>IFERROR(IF(AC95&gt;=1,0.999,1-EXP(1-(1-AC95)^(-0.8))),"")</f>
        <v/>
      </c>
      <c r="BP95" s="40">
        <f>IFERROR(IF(AK95&gt;=1,0.999,1-EXP(1-(1-AK95)^(-0.75))),"")</f>
        <v/>
      </c>
      <c r="BQ95" s="40">
        <f>IFERROR(1-EXP(-AL95*(1+AL95)),"")</f>
        <v/>
      </c>
      <c r="BR95" s="40">
        <f>IFERROR(BQ95^(1-AO95)*AP95*(4*AQ95*(1-AQ95))*AR95^1.15,"")</f>
        <v/>
      </c>
      <c r="BS95" s="40">
        <f>IFERROR(IF(BR95^(1/3)&gt;=1,0.999,1-EXP(1-(1-BR95^(1/3))^(-0.7))),"")</f>
        <v/>
      </c>
      <c r="BT95" s="40">
        <f>1</f>
        <v/>
      </c>
      <c r="BU95" s="40">
        <f>IFERROR(EXP((BO95-0.372)/(0.372*(1-0.372))),"")</f>
        <v/>
      </c>
      <c r="BV95" s="40">
        <f>IFERROR(EXP((BP95-0.415)/(0.415*(1-0.415))),"")</f>
        <v/>
      </c>
      <c r="BW95" s="40">
        <f>IFERROR(EXP((BS95-0.405)/(0.405*(1-0.405))),"")</f>
        <v/>
      </c>
      <c r="BX95" s="40">
        <f>IFERROR(BT95*BU95*BV95*BW95,"")</f>
        <v/>
      </c>
      <c r="BY95" s="40">
        <f>IFERROR(BX95/(1+BX95),"")</f>
        <v/>
      </c>
      <c r="BZ95" s="40">
        <f>IFERROR(EXP(0.15*(SQRT(BH95)-0.5)/(0.5*0.5)),"")</f>
        <v/>
      </c>
      <c r="CA95" s="40">
        <f>IFERROR(IF(BY95&gt;=1,1E9,BY95/(1-BY95)*BZ95),"")</f>
        <v/>
      </c>
      <c r="CB95" s="40">
        <f>IFERROR(CA95/(1+CA95),"")</f>
        <v/>
      </c>
      <c r="CC95" s="42">
        <f>BH95</f>
        <v/>
      </c>
      <c r="CD95" s="42">
        <f>BN95</f>
        <v/>
      </c>
      <c r="CE95" s="42">
        <f>CB95</f>
        <v/>
      </c>
      <c r="CF95" s="43" t="inlineStr">
        <is>
          <t>Very well known. People are aware and wake up to it.</t>
        </is>
      </c>
    </row>
    <row r="96" ht="40" customHeight="1">
      <c r="A96" s="53" t="n">
        <v>94</v>
      </c>
      <c r="B96" s="54" t="inlineStr">
        <is>
          <t>Getting your carte nationale or other official documents now takes far less back-and-forth at the administration than it did ten years ago, thanks to online services.</t>
        </is>
      </c>
      <c r="C96" s="53" t="inlineStr">
        <is>
          <t>Technology</t>
        </is>
      </c>
      <c r="D96" s="39" t="n">
        <v>0.75</v>
      </c>
      <c r="E96" s="39" t="n">
        <v>0.75</v>
      </c>
      <c r="F96" s="39" t="n">
        <v>0.65</v>
      </c>
      <c r="G96" s="39" t="n">
        <v>0.72</v>
      </c>
      <c r="H96" s="40">
        <f>IFERROR(AVERAGE(D96,E96,F96,G96),"")</f>
        <v/>
      </c>
      <c r="I96" s="39" t="n">
        <v>0.68</v>
      </c>
      <c r="J96" s="39" t="n">
        <v>0.65</v>
      </c>
      <c r="K96" s="39" t="n">
        <v>0.65</v>
      </c>
      <c r="L96" s="39" t="n">
        <v>0.62</v>
      </c>
      <c r="M96" s="40">
        <f>IFERROR(AVERAGE(I96,J96,K96,L96),"")</f>
        <v/>
      </c>
      <c r="N96" s="39" t="n">
        <v>0.58</v>
      </c>
      <c r="O96" s="39" t="n">
        <v>0.65</v>
      </c>
      <c r="P96" s="40">
        <f>IFERROR(IF(H96=0,0,H96^(H96^(-0.5)))*SQRT(M96)*((4*N96+O96)/5),"")</f>
        <v/>
      </c>
      <c r="Q96" s="39" t="n">
        <v>0.45</v>
      </c>
      <c r="R96" s="39" t="n">
        <v>0.8</v>
      </c>
      <c r="S96" s="39" t="n">
        <v>0.82</v>
      </c>
      <c r="T96" s="39" t="n">
        <v>0.72</v>
      </c>
      <c r="U96" s="40">
        <f>IFERROR(((Q96^1.4+T96)/2)*R96*(1-EXP(-4.605*S96)),"")</f>
        <v/>
      </c>
      <c r="V96" s="39" t="n">
        <v>0.58</v>
      </c>
      <c r="W96" s="39" t="n">
        <v>0.62</v>
      </c>
      <c r="X96" s="39" t="n">
        <v>0.6</v>
      </c>
      <c r="Y96" s="39" t="n">
        <v>0.65</v>
      </c>
      <c r="Z96" s="39" t="n">
        <v>0.52</v>
      </c>
      <c r="AA96" s="39" t="n">
        <v>0.65</v>
      </c>
      <c r="AB96" s="40">
        <f>IFERROR(Z96*(Y96*AA96^1.1)^1.1*((3*V96+2*W96+X96)/6)^0.5,"")</f>
        <v/>
      </c>
      <c r="AC96" s="40">
        <f>IFERROR(SQRT(AB96),"")</f>
        <v/>
      </c>
      <c r="AD96" s="39" t="n">
        <v>0.58</v>
      </c>
      <c r="AE96" s="39" t="n">
        <v>0.4</v>
      </c>
      <c r="AF96" s="40">
        <f>IFERROR(AE96*(1-AE96*H96),"")</f>
        <v/>
      </c>
      <c r="AG96" s="39" t="n">
        <v>0.55</v>
      </c>
      <c r="AH96" s="39" t="n">
        <v>0.68</v>
      </c>
      <c r="AI96" s="39" t="n">
        <v>0.65</v>
      </c>
      <c r="AJ96" s="40">
        <f>IFERROR(AH96^2.1*AG96^0.2*(2*AF96+3*AI96+AD96)/6,"")</f>
        <v/>
      </c>
      <c r="AK96" s="40">
        <f>IFERROR(SQRT(AJ96),"")</f>
        <v/>
      </c>
      <c r="AL96" s="39" t="n">
        <v>0.55</v>
      </c>
      <c r="AM96" s="40">
        <f>IFERROR(1-EXP(-AL96),"")</f>
        <v/>
      </c>
      <c r="AN96" s="40">
        <f>IFERROR(4.18*AM96^0.7*(1-AM96)^1.5,"")</f>
        <v/>
      </c>
      <c r="AO96" s="39" t="n">
        <v>0.6</v>
      </c>
      <c r="AP96" s="39" t="n">
        <v>0.45</v>
      </c>
      <c r="AQ96" s="39" t="n">
        <v>0.55</v>
      </c>
      <c r="AR96" s="39" t="n">
        <v>0.68</v>
      </c>
      <c r="AS96" s="40">
        <f>IFERROR(AN96^(1-AO96)*AP96*(4*AQ96*(1-AQ96))*AR96^1.15,"")</f>
        <v/>
      </c>
      <c r="AT96" s="40">
        <f>IFERROR(AS96^(1/3),"")</f>
        <v/>
      </c>
      <c r="AU96" s="39" t="n">
        <v>1.5</v>
      </c>
      <c r="AV96" s="39" t="n">
        <v>2</v>
      </c>
      <c r="AW96" s="40">
        <f>IFERROR(IF(AV96&lt;=1,AU96,AU96*(1+(AV96-1)*0.6)),"")</f>
        <v/>
      </c>
      <c r="AX96" s="39" t="n">
        <v>0.78</v>
      </c>
      <c r="AY96" s="39" t="n">
        <v>0.4</v>
      </c>
      <c r="AZ96" s="41" t="n">
        <v>0.5</v>
      </c>
      <c r="BA96" s="40">
        <f>IFERROR(AZ96/(1-AZ96),"")</f>
        <v/>
      </c>
      <c r="BB96" s="40">
        <f>IFERROR(EXP((P96-0.301)/(0.301*(1-0.301))),"")</f>
        <v/>
      </c>
      <c r="BC96" s="40">
        <f>IFERROR(EXP((U96-0.354)/(0.354*(1-0.354))),"")</f>
        <v/>
      </c>
      <c r="BD96" s="40">
        <f>IFERROR(AW96,"")</f>
        <v/>
      </c>
      <c r="BE96" s="40">
        <f>IFERROR(EXP((AX96-0.75)/(0.75*(1-0.75))),"")</f>
        <v/>
      </c>
      <c r="BF96" s="40">
        <f>IFERROR(EXP((AY96-0.5)/(0.5*(1-0.5))),"")</f>
        <v/>
      </c>
      <c r="BG96" s="40">
        <f>IFERROR(BA96*BB96*BC96*BD96*BE96*BF96,"")</f>
        <v/>
      </c>
      <c r="BH96" s="40">
        <f>IFERROR(BG96/(1+BG96),"")</f>
        <v/>
      </c>
      <c r="BI96" s="40">
        <f>IFERROR(IF(BH96&gt;=1,1E9,BH96/(1-BH96)),"")</f>
        <v/>
      </c>
      <c r="BJ96" s="40">
        <f>IFERROR(EXP((AC96-0.372)/(0.372*(1-0.372))),"")</f>
        <v/>
      </c>
      <c r="BK96" s="40">
        <f>IFERROR(EXP((AK96-0.415)/(0.415*(1-0.415))),"")</f>
        <v/>
      </c>
      <c r="BL96" s="40">
        <f>IFERROR(EXP((AT96-0.405)/(0.405*(1-0.405))),"")</f>
        <v/>
      </c>
      <c r="BM96" s="40">
        <f>IFERROR(BI96*BJ96*BK96*BL96,"")</f>
        <v/>
      </c>
      <c r="BN96" s="40">
        <f>IFERROR(BM96/(1+BM96),"")</f>
        <v/>
      </c>
      <c r="BO96" s="40">
        <f>IFERROR(IF(AC96&gt;=1,0.999,1-EXP(1-(1-AC96)^(-0.8))),"")</f>
        <v/>
      </c>
      <c r="BP96" s="40">
        <f>IFERROR(IF(AK96&gt;=1,0.999,1-EXP(1-(1-AK96)^(-0.75))),"")</f>
        <v/>
      </c>
      <c r="BQ96" s="40">
        <f>IFERROR(1-EXP(-AL96*(1+AL96)),"")</f>
        <v/>
      </c>
      <c r="BR96" s="40">
        <f>IFERROR(BQ96^(1-AO96)*AP96*(4*AQ96*(1-AQ96))*AR96^1.15,"")</f>
        <v/>
      </c>
      <c r="BS96" s="40">
        <f>IFERROR(IF(BR96^(1/3)&gt;=1,0.999,1-EXP(1-(1-BR96^(1/3))^(-0.7))),"")</f>
        <v/>
      </c>
      <c r="BT96" s="40">
        <f>1</f>
        <v/>
      </c>
      <c r="BU96" s="40">
        <f>IFERROR(EXP((BO96-0.372)/(0.372*(1-0.372))),"")</f>
        <v/>
      </c>
      <c r="BV96" s="40">
        <f>IFERROR(EXP((BP96-0.415)/(0.415*(1-0.415))),"")</f>
        <v/>
      </c>
      <c r="BW96" s="40">
        <f>IFERROR(EXP((BS96-0.405)/(0.405*(1-0.405))),"")</f>
        <v/>
      </c>
      <c r="BX96" s="40">
        <f>IFERROR(BT96*BU96*BV96*BW96,"")</f>
        <v/>
      </c>
      <c r="BY96" s="40">
        <f>IFERROR(BX96/(1+BX96),"")</f>
        <v/>
      </c>
      <c r="BZ96" s="40">
        <f>IFERROR(EXP(0.15*(SQRT(BH96)-0.5)/(0.5*0.5)),"")</f>
        <v/>
      </c>
      <c r="CA96" s="40">
        <f>IFERROR(IF(BY96&gt;=1,1E9,BY96/(1-BY96)*BZ96),"")</f>
        <v/>
      </c>
      <c r="CB96" s="40">
        <f>IFERROR(CA96/(1+CA96),"")</f>
        <v/>
      </c>
      <c r="CC96" s="42">
        <f>BH96</f>
        <v/>
      </c>
      <c r="CD96" s="42">
        <f>BN96</f>
        <v/>
      </c>
      <c r="CE96" s="42">
        <f>CB96</f>
        <v/>
      </c>
      <c r="CF96" s="43" t="inlineStr">
        <is>
          <t>True but still slow. People skeptical of improvement claims. Q_rel lower.</t>
        </is>
      </c>
    </row>
    <row r="97" ht="40" customHeight="1">
      <c r="A97" s="53" t="n">
        <v>95</v>
      </c>
      <c r="B97" s="54" t="inlineStr">
        <is>
          <t>Surveillance cameras with facial recognition are already running in some Moroccan public spaces, and most people walking past have no idea.</t>
        </is>
      </c>
      <c r="C97" s="53" t="inlineStr">
        <is>
          <t>Technology</t>
        </is>
      </c>
      <c r="D97" s="39" t="n">
        <v>0.72</v>
      </c>
      <c r="E97" s="39" t="n">
        <v>0.72</v>
      </c>
      <c r="F97" s="39" t="n">
        <v>0.65</v>
      </c>
      <c r="G97" s="39" t="n">
        <v>0.7</v>
      </c>
      <c r="H97" s="40">
        <f>IFERROR(AVERAGE(D97,E97,F97,G97),"")</f>
        <v/>
      </c>
      <c r="I97" s="39" t="n">
        <v>0.65</v>
      </c>
      <c r="J97" s="39" t="n">
        <v>0.62</v>
      </c>
      <c r="K97" s="39" t="n">
        <v>0.62</v>
      </c>
      <c r="L97" s="39" t="n">
        <v>0.58</v>
      </c>
      <c r="M97" s="40">
        <f>IFERROR(AVERAGE(I97,J97,K97,L97),"")</f>
        <v/>
      </c>
      <c r="N97" s="39" t="n">
        <v>0.55</v>
      </c>
      <c r="O97" s="39" t="n">
        <v>0.65</v>
      </c>
      <c r="P97" s="40">
        <f>IFERROR(IF(H97=0,0,H97^(H97^(-0.5)))*SQRT(M97)*((4*N97+O97)/5),"")</f>
        <v/>
      </c>
      <c r="Q97" s="39" t="n">
        <v>0.52</v>
      </c>
      <c r="R97" s="39" t="n">
        <v>0.78</v>
      </c>
      <c r="S97" s="39" t="n">
        <v>0.72</v>
      </c>
      <c r="T97" s="39" t="n">
        <v>0.7</v>
      </c>
      <c r="U97" s="40">
        <f>IFERROR(((Q97^1.4+T97)/2)*R97*(1-EXP(-4.605*S97)),"")</f>
        <v/>
      </c>
      <c r="V97" s="39" t="n">
        <v>0.55</v>
      </c>
      <c r="W97" s="39" t="n">
        <v>0.6</v>
      </c>
      <c r="X97" s="39" t="n">
        <v>0.6</v>
      </c>
      <c r="Y97" s="39" t="n">
        <v>0.62</v>
      </c>
      <c r="Z97" s="39" t="n">
        <v>0.48</v>
      </c>
      <c r="AA97" s="39" t="n">
        <v>0.65</v>
      </c>
      <c r="AB97" s="40">
        <f>IFERROR(Z97*(Y97*AA97^1.1)^1.1*((3*V97+2*W97+X97)/6)^0.5,"")</f>
        <v/>
      </c>
      <c r="AC97" s="40">
        <f>IFERROR(SQRT(AB97),"")</f>
        <v/>
      </c>
      <c r="AD97" s="39" t="n">
        <v>0.58</v>
      </c>
      <c r="AE97" s="39" t="n">
        <v>0.38</v>
      </c>
      <c r="AF97" s="40">
        <f>IFERROR(AE97*(1-AE97*H97),"")</f>
        <v/>
      </c>
      <c r="AG97" s="39" t="n">
        <v>0.55</v>
      </c>
      <c r="AH97" s="39" t="n">
        <v>0.68</v>
      </c>
      <c r="AI97" s="39" t="n">
        <v>0.65</v>
      </c>
      <c r="AJ97" s="40">
        <f>IFERROR(AH97^2.1*AG97^0.2*(2*AF97+3*AI97+AD97)/6,"")</f>
        <v/>
      </c>
      <c r="AK97" s="40">
        <f>IFERROR(SQRT(AJ97),"")</f>
        <v/>
      </c>
      <c r="AL97" s="39" t="n">
        <v>1.2</v>
      </c>
      <c r="AM97" s="40">
        <f>IFERROR(1-EXP(-AL97),"")</f>
        <v/>
      </c>
      <c r="AN97" s="40">
        <f>IFERROR(4.18*AM97^0.7*(1-AM97)^1.5,"")</f>
        <v/>
      </c>
      <c r="AO97" s="39" t="n">
        <v>0.6</v>
      </c>
      <c r="AP97" s="39" t="n">
        <v>0.48</v>
      </c>
      <c r="AQ97" s="39" t="n">
        <v>0.55</v>
      </c>
      <c r="AR97" s="39" t="n">
        <v>0.7</v>
      </c>
      <c r="AS97" s="40">
        <f>IFERROR(AN97^(1-AO97)*AP97*(4*AQ97*(1-AQ97))*AR97^1.15,"")</f>
        <v/>
      </c>
      <c r="AT97" s="40">
        <f>IFERROR(AS97^(1/3),"")</f>
        <v/>
      </c>
      <c r="AU97" s="39" t="n">
        <v>1.4</v>
      </c>
      <c r="AV97" s="39" t="n">
        <v>2</v>
      </c>
      <c r="AW97" s="40">
        <f>IFERROR(IF(AV97&lt;=1,AU97,AU97*(1+(AV97-1)*0.6)),"")</f>
        <v/>
      </c>
      <c r="AX97" s="39" t="n">
        <v>0.72</v>
      </c>
      <c r="AY97" s="39" t="n">
        <v>0.35</v>
      </c>
      <c r="AZ97" s="41" t="n">
        <v>0.5</v>
      </c>
      <c r="BA97" s="40">
        <f>IFERROR(AZ97/(1-AZ97),"")</f>
        <v/>
      </c>
      <c r="BB97" s="40">
        <f>IFERROR(EXP((P97-0.301)/(0.301*(1-0.301))),"")</f>
        <v/>
      </c>
      <c r="BC97" s="40">
        <f>IFERROR(EXP((U97-0.354)/(0.354*(1-0.354))),"")</f>
        <v/>
      </c>
      <c r="BD97" s="40">
        <f>IFERROR(AW97,"")</f>
        <v/>
      </c>
      <c r="BE97" s="40">
        <f>IFERROR(EXP((AX97-0.75)/(0.75*(1-0.75))),"")</f>
        <v/>
      </c>
      <c r="BF97" s="40">
        <f>IFERROR(EXP((AY97-0.5)/(0.5*(1-0.5))),"")</f>
        <v/>
      </c>
      <c r="BG97" s="40">
        <f>IFERROR(BA97*BB97*BC97*BD97*BE97*BF97,"")</f>
        <v/>
      </c>
      <c r="BH97" s="40">
        <f>IFERROR(BG97/(1+BG97),"")</f>
        <v/>
      </c>
      <c r="BI97" s="40">
        <f>IFERROR(IF(BH97&gt;=1,1E9,BH97/(1-BH97)),"")</f>
        <v/>
      </c>
      <c r="BJ97" s="40">
        <f>IFERROR(EXP((AC97-0.372)/(0.372*(1-0.372))),"")</f>
        <v/>
      </c>
      <c r="BK97" s="40">
        <f>IFERROR(EXP((AK97-0.415)/(0.415*(1-0.415))),"")</f>
        <v/>
      </c>
      <c r="BL97" s="40">
        <f>IFERROR(EXP((AT97-0.405)/(0.405*(1-0.405))),"")</f>
        <v/>
      </c>
      <c r="BM97" s="40">
        <f>IFERROR(BI97*BJ97*BK97*BL97,"")</f>
        <v/>
      </c>
      <c r="BN97" s="40">
        <f>IFERROR(BM97/(1+BM97),"")</f>
        <v/>
      </c>
      <c r="BO97" s="40">
        <f>IFERROR(IF(AC97&gt;=1,0.999,1-EXP(1-(1-AC97)^(-0.8))),"")</f>
        <v/>
      </c>
      <c r="BP97" s="40">
        <f>IFERROR(IF(AK97&gt;=1,0.999,1-EXP(1-(1-AK97)^(-0.75))),"")</f>
        <v/>
      </c>
      <c r="BQ97" s="40">
        <f>IFERROR(1-EXP(-AL97*(1+AL97)),"")</f>
        <v/>
      </c>
      <c r="BR97" s="40">
        <f>IFERROR(BQ97^(1-AO97)*AP97*(4*AQ97*(1-AQ97))*AR97^1.15,"")</f>
        <v/>
      </c>
      <c r="BS97" s="40">
        <f>IFERROR(IF(BR97^(1/3)&gt;=1,0.999,1-EXP(1-(1-BR97^(1/3))^(-0.7))),"")</f>
        <v/>
      </c>
      <c r="BT97" s="40">
        <f>1</f>
        <v/>
      </c>
      <c r="BU97" s="40">
        <f>IFERROR(EXP((BO97-0.372)/(0.372*(1-0.372))),"")</f>
        <v/>
      </c>
      <c r="BV97" s="40">
        <f>IFERROR(EXP((BP97-0.415)/(0.415*(1-0.415))),"")</f>
        <v/>
      </c>
      <c r="BW97" s="40">
        <f>IFERROR(EXP((BS97-0.405)/(0.405*(1-0.405))),"")</f>
        <v/>
      </c>
      <c r="BX97" s="40">
        <f>IFERROR(BT97*BU97*BV97*BW97,"")</f>
        <v/>
      </c>
      <c r="BY97" s="40">
        <f>IFERROR(BX97/(1+BX97),"")</f>
        <v/>
      </c>
      <c r="BZ97" s="40">
        <f>IFERROR(EXP(0.15*(SQRT(BH97)-0.5)/(0.5*0.5)),"")</f>
        <v/>
      </c>
      <c r="CA97" s="40">
        <f>IFERROR(IF(BY97&gt;=1,1E9,BY97/(1-BY97)*BZ97),"")</f>
        <v/>
      </c>
      <c r="CB97" s="40">
        <f>IFERROR(CA97/(1+CA97),"")</f>
        <v/>
      </c>
      <c r="CC97" s="42">
        <f>BH97</f>
        <v/>
      </c>
      <c r="CD97" s="42">
        <f>BN97</f>
        <v/>
      </c>
      <c r="CE97" s="42">
        <f>CB97</f>
        <v/>
      </c>
      <c r="CF97" s="43" t="inlineStr">
        <is>
          <t>Decently known. N_raw=1.2 - known but not widely processed.</t>
        </is>
      </c>
    </row>
    <row r="98" ht="40" customHeight="1">
      <c r="A98" s="55" t="n">
        <v>96</v>
      </c>
      <c r="B98" s="56" t="inlineStr">
        <is>
          <t>We are living in a simulated reality — what we experience as the physical world is a kind of advanced computation.</t>
        </is>
      </c>
      <c r="C98" s="55" t="inlineStr">
        <is>
          <t>Big Ideas</t>
        </is>
      </c>
      <c r="D98" s="39" t="n">
        <v>0.8</v>
      </c>
      <c r="E98" s="39" t="n">
        <v>0.8</v>
      </c>
      <c r="F98" s="39" t="n">
        <v>0.8</v>
      </c>
      <c r="G98" s="39" t="n">
        <v>0.8</v>
      </c>
      <c r="H98" s="40">
        <f>IFERROR(AVERAGE(D98,E98,F98,G98),"")</f>
        <v/>
      </c>
      <c r="I98" s="39" t="n">
        <v>0.45</v>
      </c>
      <c r="J98" s="39" t="n">
        <v>0.42</v>
      </c>
      <c r="K98" s="39" t="n">
        <v>0.4</v>
      </c>
      <c r="L98" s="39" t="n">
        <v>0.38</v>
      </c>
      <c r="M98" s="40">
        <f>IFERROR(AVERAGE(I98,J98,K98,L98),"")</f>
        <v/>
      </c>
      <c r="N98" s="39" t="n">
        <v>0.48</v>
      </c>
      <c r="O98" s="39" t="n">
        <v>0.6</v>
      </c>
      <c r="P98" s="40">
        <f>IFERROR(IF(H98=0,0,H98^(H98^(-0.5)))*SQRT(M98)*((4*N98+O98)/5),"")</f>
        <v/>
      </c>
      <c r="Q98" s="39" t="n">
        <v>0.65</v>
      </c>
      <c r="R98" s="39" t="n">
        <v>0.82</v>
      </c>
      <c r="S98" s="39" t="n">
        <v>0.03</v>
      </c>
      <c r="T98" s="39" t="n">
        <v>0.72</v>
      </c>
      <c r="U98" s="40">
        <f>IFERROR(((Q98^1.4+T98)/2)*R98*(1-EXP(-4.605*S98)),"")</f>
        <v/>
      </c>
      <c r="V98" s="39" t="n">
        <v>0.58</v>
      </c>
      <c r="W98" s="39" t="n">
        <v>0.62</v>
      </c>
      <c r="X98" s="39" t="n">
        <v>0.6</v>
      </c>
      <c r="Y98" s="39" t="n">
        <v>0.65</v>
      </c>
      <c r="Z98" s="39" t="n">
        <v>0.42</v>
      </c>
      <c r="AA98" s="39" t="n">
        <v>0.68</v>
      </c>
      <c r="AB98" s="40">
        <f>IFERROR(Z98*(Y98*AA98^1.1)^1.1*((3*V98+2*W98+X98)/6)^0.5,"")</f>
        <v/>
      </c>
      <c r="AC98" s="40">
        <f>IFERROR(SQRT(AB98),"")</f>
        <v/>
      </c>
      <c r="AD98" s="39" t="n">
        <v>0.58</v>
      </c>
      <c r="AE98" s="39" t="n">
        <v>0.25</v>
      </c>
      <c r="AF98" s="40">
        <f>IFERROR(AE98*(1-AE98*H98),"")</f>
        <v/>
      </c>
      <c r="AG98" s="39" t="n">
        <v>0.58</v>
      </c>
      <c r="AH98" s="39" t="n">
        <v>0.65</v>
      </c>
      <c r="AI98" s="39" t="n">
        <v>0.62</v>
      </c>
      <c r="AJ98" s="40">
        <f>IFERROR(AH98^2.1*AG98^0.2*(2*AF98+3*AI98+AD98)/6,"")</f>
        <v/>
      </c>
      <c r="AK98" s="40">
        <f>IFERROR(SQRT(AJ98),"")</f>
        <v/>
      </c>
      <c r="AL98" s="39" t="n">
        <v>1.5</v>
      </c>
      <c r="AM98" s="40">
        <f>IFERROR(1-EXP(-AL98),"")</f>
        <v/>
      </c>
      <c r="AN98" s="40">
        <f>IFERROR(4.18*AM98^0.7*(1-AM98)^1.5,"")</f>
        <v/>
      </c>
      <c r="AO98" s="39" t="n">
        <v>0.5</v>
      </c>
      <c r="AP98" s="39" t="n">
        <v>0.45</v>
      </c>
      <c r="AQ98" s="39" t="n">
        <v>0.7</v>
      </c>
      <c r="AR98" s="39" t="n">
        <v>0.65</v>
      </c>
      <c r="AS98" s="40">
        <f>IFERROR(AN98^(1-AO98)*AP98*(4*AQ98*(1-AQ98))*AR98^1.15,"")</f>
        <v/>
      </c>
      <c r="AT98" s="40">
        <f>IFERROR(AS98^(1/3),"")</f>
        <v/>
      </c>
      <c r="AU98" s="39" t="n">
        <v>1</v>
      </c>
      <c r="AV98" s="39" t="n">
        <v>1</v>
      </c>
      <c r="AW98" s="40">
        <f>IFERROR(IF(AV98&lt;=1,AU98,AU98*(1+(AV98-1)*0.6)),"")</f>
        <v/>
      </c>
      <c r="AX98" s="39" t="n">
        <v>0.35</v>
      </c>
      <c r="AY98" s="39" t="n">
        <v>0.05</v>
      </c>
      <c r="AZ98" s="41" t="n">
        <v>0.5</v>
      </c>
      <c r="BA98" s="40">
        <f>IFERROR(AZ98/(1-AZ98),"")</f>
        <v/>
      </c>
      <c r="BB98" s="40">
        <f>IFERROR(EXP((P98-0.301)/(0.301*(1-0.301))),"")</f>
        <v/>
      </c>
      <c r="BC98" s="40">
        <f>IFERROR(EXP((U98-0.354)/(0.354*(1-0.354))),"")</f>
        <v/>
      </c>
      <c r="BD98" s="40">
        <f>IFERROR(AW98,"")</f>
        <v/>
      </c>
      <c r="BE98" s="40">
        <f>IFERROR(EXP((AX98-0.75)/(0.75*(1-0.75))),"")</f>
        <v/>
      </c>
      <c r="BF98" s="40">
        <f>IFERROR(EXP((AY98-0.5)/(0.5*(1-0.5))),"")</f>
        <v/>
      </c>
      <c r="BG98" s="40">
        <f>IFERROR(BA98*BB98*BC98*BD98*BE98*BF98,"")</f>
        <v/>
      </c>
      <c r="BH98" s="40">
        <f>IFERROR(BG98/(1+BG98),"")</f>
        <v/>
      </c>
      <c r="BI98" s="40">
        <f>IFERROR(IF(BH98&gt;=1,1E9,BH98/(1-BH98)),"")</f>
        <v/>
      </c>
      <c r="BJ98" s="40">
        <f>IFERROR(EXP((AC98-0.372)/(0.372*(1-0.372))),"")</f>
        <v/>
      </c>
      <c r="BK98" s="40">
        <f>IFERROR(EXP((AK98-0.415)/(0.415*(1-0.415))),"")</f>
        <v/>
      </c>
      <c r="BL98" s="40">
        <f>IFERROR(EXP((AT98-0.405)/(0.405*(1-0.405))),"")</f>
        <v/>
      </c>
      <c r="BM98" s="40">
        <f>IFERROR(BI98*BJ98*BK98*BL98,"")</f>
        <v/>
      </c>
      <c r="BN98" s="40">
        <f>IFERROR(BM98/(1+BM98),"")</f>
        <v/>
      </c>
      <c r="BO98" s="40">
        <f>IFERROR(IF(AC98&gt;=1,0.999,1-EXP(1-(1-AC98)^(-0.8))),"")</f>
        <v/>
      </c>
      <c r="BP98" s="40">
        <f>IFERROR(IF(AK98&gt;=1,0.999,1-EXP(1-(1-AK98)^(-0.75))),"")</f>
        <v/>
      </c>
      <c r="BQ98" s="40">
        <f>IFERROR(1-EXP(-AL98*(1+AL98)),"")</f>
        <v/>
      </c>
      <c r="BR98" s="40">
        <f>IFERROR(BQ98^(1-AO98)*AP98*(4*AQ98*(1-AQ98))*AR98^1.15,"")</f>
        <v/>
      </c>
      <c r="BS98" s="40">
        <f>IFERROR(IF(BR98^(1/3)&gt;=1,0.999,1-EXP(1-(1-BR98^(1/3))^(-0.7))),"")</f>
        <v/>
      </c>
      <c r="BT98" s="40">
        <f>1</f>
        <v/>
      </c>
      <c r="BU98" s="40">
        <f>IFERROR(EXP((BO98-0.372)/(0.372*(1-0.372))),"")</f>
        <v/>
      </c>
      <c r="BV98" s="40">
        <f>IFERROR(EXP((BP98-0.415)/(0.415*(1-0.415))),"")</f>
        <v/>
      </c>
      <c r="BW98" s="40">
        <f>IFERROR(EXP((BS98-0.405)/(0.405*(1-0.405))),"")</f>
        <v/>
      </c>
      <c r="BX98" s="40">
        <f>IFERROR(BT98*BU98*BV98*BW98,"")</f>
        <v/>
      </c>
      <c r="BY98" s="40">
        <f>IFERROR(BX98/(1+BX98),"")</f>
        <v/>
      </c>
      <c r="BZ98" s="40">
        <f>IFERROR(EXP(0.15*(SQRT(BH98)-0.5)/(0.5*0.5)),"")</f>
        <v/>
      </c>
      <c r="CA98" s="40">
        <f>IFERROR(IF(BY98&gt;=1,1E9,BY98/(1-BY98)*BZ98),"")</f>
        <v/>
      </c>
      <c r="CB98" s="40">
        <f>IFERROR(CA98/(1+CA98),"")</f>
        <v/>
      </c>
      <c r="CC98" s="42">
        <f>BH98</f>
        <v/>
      </c>
      <c r="CD98" s="42">
        <f>BN98</f>
        <v/>
      </c>
      <c r="CE98" s="42">
        <f>CB98</f>
        <v/>
      </c>
      <c r="CF98" s="43" t="inlineStr">
        <is>
          <t>Unfalsifiable. H_f=0.03. High N - novel idea. Existentially interesting.</t>
        </is>
      </c>
    </row>
    <row r="99" ht="40" customHeight="1">
      <c r="A99" s="55" t="n">
        <v>97</v>
      </c>
      <c r="B99" s="56" t="inlineStr">
        <is>
          <t>Everything that happens in a person's life was already determined before they were born.</t>
        </is>
      </c>
      <c r="C99" s="55" t="inlineStr">
        <is>
          <t>Big Ideas</t>
        </is>
      </c>
      <c r="D99" s="39" t="n">
        <v>0.8</v>
      </c>
      <c r="E99" s="39" t="n">
        <v>0.8</v>
      </c>
      <c r="F99" s="39" t="n">
        <v>0.8</v>
      </c>
      <c r="G99" s="39" t="n">
        <v>0.8</v>
      </c>
      <c r="H99" s="40">
        <f>IFERROR(AVERAGE(D99,E99,F99,G99),"")</f>
        <v/>
      </c>
      <c r="I99" s="39" t="n">
        <v>0.45</v>
      </c>
      <c r="J99" s="39" t="n">
        <v>0.42</v>
      </c>
      <c r="K99" s="39" t="n">
        <v>0.4</v>
      </c>
      <c r="L99" s="39" t="n">
        <v>0.38</v>
      </c>
      <c r="M99" s="40">
        <f>IFERROR(AVERAGE(I99,J99,K99,L99),"")</f>
        <v/>
      </c>
      <c r="N99" s="39" t="n">
        <v>0.5</v>
      </c>
      <c r="O99" s="39" t="n">
        <v>0.65</v>
      </c>
      <c r="P99" s="40">
        <f>IFERROR(IF(H99=0,0,H99^(H99^(-0.5)))*SQRT(M99)*((4*N99+O99)/5),"")</f>
        <v/>
      </c>
      <c r="Q99" s="39" t="n">
        <v>0.65</v>
      </c>
      <c r="R99" s="39" t="n">
        <v>0.82</v>
      </c>
      <c r="S99" s="39" t="n">
        <v>0.03</v>
      </c>
      <c r="T99" s="39" t="n">
        <v>0.72</v>
      </c>
      <c r="U99" s="40">
        <f>IFERROR(((Q99^1.4+T99)/2)*R99*(1-EXP(-4.605*S99)),"")</f>
        <v/>
      </c>
      <c r="V99" s="39" t="n">
        <v>0.58</v>
      </c>
      <c r="W99" s="39" t="n">
        <v>0.62</v>
      </c>
      <c r="X99" s="39" t="n">
        <v>0.6</v>
      </c>
      <c r="Y99" s="39" t="n">
        <v>0.68</v>
      </c>
      <c r="Z99" s="39" t="n">
        <v>0.42</v>
      </c>
      <c r="AA99" s="39" t="n">
        <v>0.68</v>
      </c>
      <c r="AB99" s="40">
        <f>IFERROR(Z99*(Y99*AA99^1.1)^1.1*((3*V99+2*W99+X99)/6)^0.5,"")</f>
        <v/>
      </c>
      <c r="AC99" s="40">
        <f>IFERROR(SQRT(AB99),"")</f>
        <v/>
      </c>
      <c r="AD99" s="39" t="n">
        <v>0.6</v>
      </c>
      <c r="AE99" s="39" t="n">
        <v>0.28</v>
      </c>
      <c r="AF99" s="40">
        <f>IFERROR(AE99*(1-AE99*H99),"")</f>
        <v/>
      </c>
      <c r="AG99" s="39" t="n">
        <v>0.6</v>
      </c>
      <c r="AH99" s="39" t="n">
        <v>0.65</v>
      </c>
      <c r="AI99" s="39" t="n">
        <v>0.65</v>
      </c>
      <c r="AJ99" s="40">
        <f>IFERROR(AH99^2.1*AG99^0.2*(2*AF99+3*AI99+AD99)/6,"")</f>
        <v/>
      </c>
      <c r="AK99" s="40">
        <f>IFERROR(SQRT(AJ99),"")</f>
        <v/>
      </c>
      <c r="AL99" s="39" t="n">
        <v>0.8</v>
      </c>
      <c r="AM99" s="40">
        <f>IFERROR(1-EXP(-AL99),"")</f>
        <v/>
      </c>
      <c r="AN99" s="40">
        <f>IFERROR(4.18*AM99^0.7*(1-AM99)^1.5,"")</f>
        <v/>
      </c>
      <c r="AO99" s="39" t="n">
        <v>0.5</v>
      </c>
      <c r="AP99" s="39" t="n">
        <v>0.52</v>
      </c>
      <c r="AQ99" s="39" t="n">
        <v>0.72</v>
      </c>
      <c r="AR99" s="39" t="n">
        <v>0.68</v>
      </c>
      <c r="AS99" s="40">
        <f>IFERROR(AN99^(1-AO99)*AP99*(4*AQ99*(1-AQ99))*AR99^1.15,"")</f>
        <v/>
      </c>
      <c r="AT99" s="40">
        <f>IFERROR(AS99^(1/3),"")</f>
        <v/>
      </c>
      <c r="AU99" s="39" t="n">
        <v>1</v>
      </c>
      <c r="AV99" s="39" t="n">
        <v>1</v>
      </c>
      <c r="AW99" s="40">
        <f>IFERROR(IF(AV99&lt;=1,AU99,AU99*(1+(AV99-1)*0.6)),"")</f>
        <v/>
      </c>
      <c r="AX99" s="39" t="n">
        <v>0.38</v>
      </c>
      <c r="AY99" s="39" t="n">
        <v>0.05</v>
      </c>
      <c r="AZ99" s="41" t="n">
        <v>0.5</v>
      </c>
      <c r="BA99" s="40">
        <f>IFERROR(AZ99/(1-AZ99),"")</f>
        <v/>
      </c>
      <c r="BB99" s="40">
        <f>IFERROR(EXP((P99-0.301)/(0.301*(1-0.301))),"")</f>
        <v/>
      </c>
      <c r="BC99" s="40">
        <f>IFERROR(EXP((U99-0.354)/(0.354*(1-0.354))),"")</f>
        <v/>
      </c>
      <c r="BD99" s="40">
        <f>IFERROR(AW99,"")</f>
        <v/>
      </c>
      <c r="BE99" s="40">
        <f>IFERROR(EXP((AX99-0.75)/(0.75*(1-0.75))),"")</f>
        <v/>
      </c>
      <c r="BF99" s="40">
        <f>IFERROR(EXP((AY99-0.5)/(0.5*(1-0.5))),"")</f>
        <v/>
      </c>
      <c r="BG99" s="40">
        <f>IFERROR(BA99*BB99*BC99*BD99*BE99*BF99,"")</f>
        <v/>
      </c>
      <c r="BH99" s="40">
        <f>IFERROR(BG99/(1+BG99),"")</f>
        <v/>
      </c>
      <c r="BI99" s="40">
        <f>IFERROR(IF(BH99&gt;=1,1E9,BH99/(1-BH99)),"")</f>
        <v/>
      </c>
      <c r="BJ99" s="40">
        <f>IFERROR(EXP((AC99-0.372)/(0.372*(1-0.372))),"")</f>
        <v/>
      </c>
      <c r="BK99" s="40">
        <f>IFERROR(EXP((AK99-0.415)/(0.415*(1-0.415))),"")</f>
        <v/>
      </c>
      <c r="BL99" s="40">
        <f>IFERROR(EXP((AT99-0.405)/(0.405*(1-0.405))),"")</f>
        <v/>
      </c>
      <c r="BM99" s="40">
        <f>IFERROR(BI99*BJ99*BK99*BL99,"")</f>
        <v/>
      </c>
      <c r="BN99" s="40">
        <f>IFERROR(BM99/(1+BM99),"")</f>
        <v/>
      </c>
      <c r="BO99" s="40">
        <f>IFERROR(IF(AC99&gt;=1,0.999,1-EXP(1-(1-AC99)^(-0.8))),"")</f>
        <v/>
      </c>
      <c r="BP99" s="40">
        <f>IFERROR(IF(AK99&gt;=1,0.999,1-EXP(1-(1-AK99)^(-0.75))),"")</f>
        <v/>
      </c>
      <c r="BQ99" s="40">
        <f>IFERROR(1-EXP(-AL99*(1+AL99)),"")</f>
        <v/>
      </c>
      <c r="BR99" s="40">
        <f>IFERROR(BQ99^(1-AO99)*AP99*(4*AQ99*(1-AQ99))*AR99^1.15,"")</f>
        <v/>
      </c>
      <c r="BS99" s="40">
        <f>IFERROR(IF(BR99^(1/3)&gt;=1,0.999,1-EXP(1-(1-BR99^(1/3))^(-0.7))),"")</f>
        <v/>
      </c>
      <c r="BT99" s="40">
        <f>1</f>
        <v/>
      </c>
      <c r="BU99" s="40">
        <f>IFERROR(EXP((BO99-0.372)/(0.372*(1-0.372))),"")</f>
        <v/>
      </c>
      <c r="BV99" s="40">
        <f>IFERROR(EXP((BP99-0.415)/(0.415*(1-0.415))),"")</f>
        <v/>
      </c>
      <c r="BW99" s="40">
        <f>IFERROR(EXP((BS99-0.405)/(0.405*(1-0.405))),"")</f>
        <v/>
      </c>
      <c r="BX99" s="40">
        <f>IFERROR(BT99*BU99*BV99*BW99,"")</f>
        <v/>
      </c>
      <c r="BY99" s="40">
        <f>IFERROR(BX99/(1+BX99),"")</f>
        <v/>
      </c>
      <c r="BZ99" s="40">
        <f>IFERROR(EXP(0.15*(SQRT(BH99)-0.5)/(0.5*0.5)),"")</f>
        <v/>
      </c>
      <c r="CA99" s="40">
        <f>IFERROR(IF(BY99&gt;=1,1E9,BY99/(1-BY99)*BZ99),"")</f>
        <v/>
      </c>
      <c r="CB99" s="40">
        <f>IFERROR(CA99/(1+CA99),"")</f>
        <v/>
      </c>
      <c r="CC99" s="42">
        <f>BH99</f>
        <v/>
      </c>
      <c r="CD99" s="42">
        <f>BN99</f>
        <v/>
      </c>
      <c r="CE99" s="42">
        <f>CB99</f>
        <v/>
      </c>
      <c r="CF99" s="43" t="inlineStr">
        <is>
          <t>Near-unfalsifiable. Intersects with qadar. Divided culturally. Very emotional.</t>
        </is>
      </c>
    </row>
    <row r="100" ht="40" customHeight="1">
      <c r="A100" s="55" t="n">
        <v>98</v>
      </c>
      <c r="B100" s="56" t="inlineStr">
        <is>
          <t>Human consciousness cannot be fully explained by brain activity alone — there is something beyond the physical.</t>
        </is>
      </c>
      <c r="C100" s="55" t="inlineStr">
        <is>
          <t>Big Ideas</t>
        </is>
      </c>
      <c r="D100" s="39" t="n">
        <v>0.8</v>
      </c>
      <c r="E100" s="39" t="n">
        <v>0.8</v>
      </c>
      <c r="F100" s="39" t="n">
        <v>0.8</v>
      </c>
      <c r="G100" s="39" t="n">
        <v>0.8</v>
      </c>
      <c r="H100" s="40">
        <f>IFERROR(AVERAGE(D100,E100,F100,G100),"")</f>
        <v/>
      </c>
      <c r="I100" s="39" t="n">
        <v>0.48</v>
      </c>
      <c r="J100" s="39" t="n">
        <v>0.45</v>
      </c>
      <c r="K100" s="39" t="n">
        <v>0.42</v>
      </c>
      <c r="L100" s="39" t="n">
        <v>0.4</v>
      </c>
      <c r="M100" s="40">
        <f>IFERROR(AVERAGE(I100,J100,K100,L100),"")</f>
        <v/>
      </c>
      <c r="N100" s="39" t="n">
        <v>0.5</v>
      </c>
      <c r="O100" s="39" t="n">
        <v>0.62</v>
      </c>
      <c r="P100" s="40">
        <f>IFERROR(IF(H100=0,0,H100^(H100^(-0.5)))*SQRT(M100)*((4*N100+O100)/5),"")</f>
        <v/>
      </c>
      <c r="Q100" s="39" t="n">
        <v>0.62</v>
      </c>
      <c r="R100" s="39" t="n">
        <v>0.82</v>
      </c>
      <c r="S100" s="39" t="n">
        <v>0.03</v>
      </c>
      <c r="T100" s="39" t="n">
        <v>0.7</v>
      </c>
      <c r="U100" s="40">
        <f>IFERROR(((Q100^1.4+T100)/2)*R100*(1-EXP(-4.605*S100)),"")</f>
        <v/>
      </c>
      <c r="V100" s="39" t="n">
        <v>0.58</v>
      </c>
      <c r="W100" s="39" t="n">
        <v>0.62</v>
      </c>
      <c r="X100" s="39" t="n">
        <v>0.6</v>
      </c>
      <c r="Y100" s="39" t="n">
        <v>0.65</v>
      </c>
      <c r="Z100" s="39" t="n">
        <v>0.42</v>
      </c>
      <c r="AA100" s="39" t="n">
        <v>0.65</v>
      </c>
      <c r="AB100" s="40">
        <f>IFERROR(Z100*(Y100*AA100^1.1)^1.1*((3*V100+2*W100+X100)/6)^0.5,"")</f>
        <v/>
      </c>
      <c r="AC100" s="40">
        <f>IFERROR(SQRT(AB100),"")</f>
        <v/>
      </c>
      <c r="AD100" s="39" t="n">
        <v>0.58</v>
      </c>
      <c r="AE100" s="39" t="n">
        <v>0.25</v>
      </c>
      <c r="AF100" s="40">
        <f>IFERROR(AE100*(1-AE100*H100),"")</f>
        <v/>
      </c>
      <c r="AG100" s="39" t="n">
        <v>0.58</v>
      </c>
      <c r="AH100" s="39" t="n">
        <v>0.62</v>
      </c>
      <c r="AI100" s="39" t="n">
        <v>0.65</v>
      </c>
      <c r="AJ100" s="40">
        <f>IFERROR(AH100^2.1*AG100^0.2*(2*AF100+3*AI100+AD100)/6,"")</f>
        <v/>
      </c>
      <c r="AK100" s="40">
        <f>IFERROR(SQRT(AJ100),"")</f>
        <v/>
      </c>
      <c r="AL100" s="39" t="n">
        <v>0.8</v>
      </c>
      <c r="AM100" s="40">
        <f>IFERROR(1-EXP(-AL100),"")</f>
        <v/>
      </c>
      <c r="AN100" s="40">
        <f>IFERROR(4.18*AM100^0.7*(1-AM100)^1.5,"")</f>
        <v/>
      </c>
      <c r="AO100" s="39" t="n">
        <v>0.5</v>
      </c>
      <c r="AP100" s="39" t="n">
        <v>0.5</v>
      </c>
      <c r="AQ100" s="39" t="n">
        <v>0.7</v>
      </c>
      <c r="AR100" s="39" t="n">
        <v>0.65</v>
      </c>
      <c r="AS100" s="40">
        <f>IFERROR(AN100^(1-AO100)*AP100*(4*AQ100*(1-AQ100))*AR100^1.15,"")</f>
        <v/>
      </c>
      <c r="AT100" s="40">
        <f>IFERROR(AS100^(1/3),"")</f>
        <v/>
      </c>
      <c r="AU100" s="39" t="n">
        <v>1</v>
      </c>
      <c r="AV100" s="39" t="n">
        <v>1</v>
      </c>
      <c r="AW100" s="40">
        <f>IFERROR(IF(AV100&lt;=1,AU100,AU100*(1+(AV100-1)*0.6)),"")</f>
        <v/>
      </c>
      <c r="AX100" s="39" t="n">
        <v>0.4</v>
      </c>
      <c r="AY100" s="39" t="n">
        <v>0.05</v>
      </c>
      <c r="AZ100" s="41" t="n">
        <v>0.5</v>
      </c>
      <c r="BA100" s="40">
        <f>IFERROR(AZ100/(1-AZ100),"")</f>
        <v/>
      </c>
      <c r="BB100" s="40">
        <f>IFERROR(EXP((P100-0.301)/(0.301*(1-0.301))),"")</f>
        <v/>
      </c>
      <c r="BC100" s="40">
        <f>IFERROR(EXP((U100-0.354)/(0.354*(1-0.354))),"")</f>
        <v/>
      </c>
      <c r="BD100" s="40">
        <f>IFERROR(AW100,"")</f>
        <v/>
      </c>
      <c r="BE100" s="40">
        <f>IFERROR(EXP((AX100-0.75)/(0.75*(1-0.75))),"")</f>
        <v/>
      </c>
      <c r="BF100" s="40">
        <f>IFERROR(EXP((AY100-0.5)/(0.5*(1-0.5))),"")</f>
        <v/>
      </c>
      <c r="BG100" s="40">
        <f>IFERROR(BA100*BB100*BC100*BD100*BE100*BF100,"")</f>
        <v/>
      </c>
      <c r="BH100" s="40">
        <f>IFERROR(BG100/(1+BG100),"")</f>
        <v/>
      </c>
      <c r="BI100" s="40">
        <f>IFERROR(IF(BH100&gt;=1,1E9,BH100/(1-BH100)),"")</f>
        <v/>
      </c>
      <c r="BJ100" s="40">
        <f>IFERROR(EXP((AC100-0.372)/(0.372*(1-0.372))),"")</f>
        <v/>
      </c>
      <c r="BK100" s="40">
        <f>IFERROR(EXP((AK100-0.415)/(0.415*(1-0.415))),"")</f>
        <v/>
      </c>
      <c r="BL100" s="40">
        <f>IFERROR(EXP((AT100-0.405)/(0.405*(1-0.405))),"")</f>
        <v/>
      </c>
      <c r="BM100" s="40">
        <f>IFERROR(BI100*BJ100*BK100*BL100,"")</f>
        <v/>
      </c>
      <c r="BN100" s="40">
        <f>IFERROR(BM100/(1+BM100),"")</f>
        <v/>
      </c>
      <c r="BO100" s="40">
        <f>IFERROR(IF(AC100&gt;=1,0.999,1-EXP(1-(1-AC100)^(-0.8))),"")</f>
        <v/>
      </c>
      <c r="BP100" s="40">
        <f>IFERROR(IF(AK100&gt;=1,0.999,1-EXP(1-(1-AK100)^(-0.75))),"")</f>
        <v/>
      </c>
      <c r="BQ100" s="40">
        <f>IFERROR(1-EXP(-AL100*(1+AL100)),"")</f>
        <v/>
      </c>
      <c r="BR100" s="40">
        <f>IFERROR(BQ100^(1-AO100)*AP100*(4*AQ100*(1-AQ100))*AR100^1.15,"")</f>
        <v/>
      </c>
      <c r="BS100" s="40">
        <f>IFERROR(IF(BR100^(1/3)&gt;=1,0.999,1-EXP(1-(1-BR100^(1/3))^(-0.7))),"")</f>
        <v/>
      </c>
      <c r="BT100" s="40">
        <f>1</f>
        <v/>
      </c>
      <c r="BU100" s="40">
        <f>IFERROR(EXP((BO100-0.372)/(0.372*(1-0.372))),"")</f>
        <v/>
      </c>
      <c r="BV100" s="40">
        <f>IFERROR(EXP((BP100-0.415)/(0.415*(1-0.415))),"")</f>
        <v/>
      </c>
      <c r="BW100" s="40">
        <f>IFERROR(EXP((BS100-0.405)/(0.405*(1-0.405))),"")</f>
        <v/>
      </c>
      <c r="BX100" s="40">
        <f>IFERROR(BT100*BU100*BV100*BW100,"")</f>
        <v/>
      </c>
      <c r="BY100" s="40">
        <f>IFERROR(BX100/(1+BX100),"")</f>
        <v/>
      </c>
      <c r="BZ100" s="40">
        <f>IFERROR(EXP(0.15*(SQRT(BH100)-0.5)/(0.5*0.5)),"")</f>
        <v/>
      </c>
      <c r="CA100" s="40">
        <f>IFERROR(IF(BY100&gt;=1,1E9,BY100/(1-BY100)*BZ100),"")</f>
        <v/>
      </c>
      <c r="CB100" s="40">
        <f>IFERROR(CA100/(1+CA100),"")</f>
        <v/>
      </c>
      <c r="CC100" s="42">
        <f>BH100</f>
        <v/>
      </c>
      <c r="CD100" s="42">
        <f>BN100</f>
        <v/>
      </c>
      <c r="CE100" s="42">
        <f>CB100</f>
        <v/>
      </c>
      <c r="CF100" s="43" t="inlineStr">
        <is>
          <t>Near-unfalsifiable. A lot of agreement from receiver. Islamic resonance.</t>
        </is>
      </c>
    </row>
    <row r="101" ht="40" customHeight="1">
      <c r="A101" s="55" t="n">
        <v>99</v>
      </c>
      <c r="B101" s="56" t="inlineStr">
        <is>
          <t>The universe was created with intention — its existence is not random.</t>
        </is>
      </c>
      <c r="C101" s="55" t="inlineStr">
        <is>
          <t>Big Ideas</t>
        </is>
      </c>
      <c r="D101" s="39" t="n">
        <v>0.8</v>
      </c>
      <c r="E101" s="39" t="n">
        <v>0.8</v>
      </c>
      <c r="F101" s="39" t="n">
        <v>0.8</v>
      </c>
      <c r="G101" s="39" t="n">
        <v>0.8</v>
      </c>
      <c r="H101" s="40">
        <f>IFERROR(AVERAGE(D101,E101,F101,G101),"")</f>
        <v/>
      </c>
      <c r="I101" s="39" t="n">
        <v>0.5</v>
      </c>
      <c r="J101" s="39" t="n">
        <v>0.45</v>
      </c>
      <c r="K101" s="39" t="n">
        <v>0.42</v>
      </c>
      <c r="L101" s="39" t="n">
        <v>0.4</v>
      </c>
      <c r="M101" s="40">
        <f>IFERROR(AVERAGE(I101,J101,K101,L101),"")</f>
        <v/>
      </c>
      <c r="N101" s="39" t="n">
        <v>0.52</v>
      </c>
      <c r="O101" s="39" t="n">
        <v>0.65</v>
      </c>
      <c r="P101" s="40">
        <f>IFERROR(IF(H101=0,0,H101^(H101^(-0.5)))*SQRT(M101)*((4*N101+O101)/5),"")</f>
        <v/>
      </c>
      <c r="Q101" s="39" t="n">
        <v>0.65</v>
      </c>
      <c r="R101" s="39" t="n">
        <v>0.85</v>
      </c>
      <c r="S101" s="39" t="n">
        <v>0.03</v>
      </c>
      <c r="T101" s="39" t="n">
        <v>0.72</v>
      </c>
      <c r="U101" s="40">
        <f>IFERROR(((Q101^1.4+T101)/2)*R101*(1-EXP(-4.605*S101)),"")</f>
        <v/>
      </c>
      <c r="V101" s="39" t="n">
        <v>0.6</v>
      </c>
      <c r="W101" s="39" t="n">
        <v>0.65</v>
      </c>
      <c r="X101" s="39" t="n">
        <v>0.6</v>
      </c>
      <c r="Y101" s="39" t="n">
        <v>0.68</v>
      </c>
      <c r="Z101" s="39" t="n">
        <v>0.42</v>
      </c>
      <c r="AA101" s="39" t="n">
        <v>0.68</v>
      </c>
      <c r="AB101" s="40">
        <f>IFERROR(Z101*(Y101*AA101^1.1)^1.1*((3*V101+2*W101+X101)/6)^0.5,"")</f>
        <v/>
      </c>
      <c r="AC101" s="40">
        <f>IFERROR(SQRT(AB101),"")</f>
        <v/>
      </c>
      <c r="AD101" s="39" t="n">
        <v>0.62</v>
      </c>
      <c r="AE101" s="39" t="n">
        <v>0.3</v>
      </c>
      <c r="AF101" s="40">
        <f>IFERROR(AE101*(1-AE101*H101),"")</f>
        <v/>
      </c>
      <c r="AG101" s="39" t="n">
        <v>0.62</v>
      </c>
      <c r="AH101" s="39" t="n">
        <v>0.68</v>
      </c>
      <c r="AI101" s="39" t="n">
        <v>0.68</v>
      </c>
      <c r="AJ101" s="40">
        <f>IFERROR(AH101^2.1*AG101^0.2*(2*AF101+3*AI101+AD101)/6,"")</f>
        <v/>
      </c>
      <c r="AK101" s="40">
        <f>IFERROR(SQRT(AJ101),"")</f>
        <v/>
      </c>
      <c r="AL101" s="39" t="n">
        <v>0.5</v>
      </c>
      <c r="AM101" s="40">
        <f>IFERROR(1-EXP(-AL101),"")</f>
        <v/>
      </c>
      <c r="AN101" s="40">
        <f>IFERROR(4.18*AM101^0.7*(1-AM101)^1.5,"")</f>
        <v/>
      </c>
      <c r="AO101" s="39" t="n">
        <v>0.5</v>
      </c>
      <c r="AP101" s="39" t="n">
        <v>0.55</v>
      </c>
      <c r="AQ101" s="39" t="n">
        <v>0.72</v>
      </c>
      <c r="AR101" s="39" t="n">
        <v>0.68</v>
      </c>
      <c r="AS101" s="40">
        <f>IFERROR(AN101^(1-AO101)*AP101*(4*AQ101*(1-AQ101))*AR101^1.15,"")</f>
        <v/>
      </c>
      <c r="AT101" s="40">
        <f>IFERROR(AS101^(1/3),"")</f>
        <v/>
      </c>
      <c r="AU101" s="39" t="n">
        <v>1</v>
      </c>
      <c r="AV101" s="39" t="n">
        <v>1</v>
      </c>
      <c r="AW101" s="40">
        <f>IFERROR(IF(AV101&lt;=1,AU101,AU101*(1+(AV101-1)*0.6)),"")</f>
        <v/>
      </c>
      <c r="AX101" s="39" t="n">
        <v>0.42</v>
      </c>
      <c r="AY101" s="39" t="n">
        <v>0.05</v>
      </c>
      <c r="AZ101" s="41" t="n">
        <v>0.5</v>
      </c>
      <c r="BA101" s="40">
        <f>IFERROR(AZ101/(1-AZ101),"")</f>
        <v/>
      </c>
      <c r="BB101" s="40">
        <f>IFERROR(EXP((P101-0.301)/(0.301*(1-0.301))),"")</f>
        <v/>
      </c>
      <c r="BC101" s="40">
        <f>IFERROR(EXP((U101-0.354)/(0.354*(1-0.354))),"")</f>
        <v/>
      </c>
      <c r="BD101" s="40">
        <f>IFERROR(AW101,"")</f>
        <v/>
      </c>
      <c r="BE101" s="40">
        <f>IFERROR(EXP((AX101-0.75)/(0.75*(1-0.75))),"")</f>
        <v/>
      </c>
      <c r="BF101" s="40">
        <f>IFERROR(EXP((AY101-0.5)/(0.5*(1-0.5))),"")</f>
        <v/>
      </c>
      <c r="BG101" s="40">
        <f>IFERROR(BA101*BB101*BC101*BD101*BE101*BF101,"")</f>
        <v/>
      </c>
      <c r="BH101" s="40">
        <f>IFERROR(BG101/(1+BG101),"")</f>
        <v/>
      </c>
      <c r="BI101" s="40">
        <f>IFERROR(IF(BH101&gt;=1,1E9,BH101/(1-BH101)),"")</f>
        <v/>
      </c>
      <c r="BJ101" s="40">
        <f>IFERROR(EXP((AC101-0.372)/(0.372*(1-0.372))),"")</f>
        <v/>
      </c>
      <c r="BK101" s="40">
        <f>IFERROR(EXP((AK101-0.415)/(0.415*(1-0.415))),"")</f>
        <v/>
      </c>
      <c r="BL101" s="40">
        <f>IFERROR(EXP((AT101-0.405)/(0.405*(1-0.405))),"")</f>
        <v/>
      </c>
      <c r="BM101" s="40">
        <f>IFERROR(BI101*BJ101*BK101*BL101,"")</f>
        <v/>
      </c>
      <c r="BN101" s="40">
        <f>IFERROR(BM101/(1+BM101),"")</f>
        <v/>
      </c>
      <c r="BO101" s="40">
        <f>IFERROR(IF(AC101&gt;=1,0.999,1-EXP(1-(1-AC101)^(-0.8))),"")</f>
        <v/>
      </c>
      <c r="BP101" s="40">
        <f>IFERROR(IF(AK101&gt;=1,0.999,1-EXP(1-(1-AK101)^(-0.75))),"")</f>
        <v/>
      </c>
      <c r="BQ101" s="40">
        <f>IFERROR(1-EXP(-AL101*(1+AL101)),"")</f>
        <v/>
      </c>
      <c r="BR101" s="40">
        <f>IFERROR(BQ101^(1-AO101)*AP101*(4*AQ101*(1-AQ101))*AR101^1.15,"")</f>
        <v/>
      </c>
      <c r="BS101" s="40">
        <f>IFERROR(IF(BR101^(1/3)&gt;=1,0.999,1-EXP(1-(1-BR101^(1/3))^(-0.7))),"")</f>
        <v/>
      </c>
      <c r="BT101" s="40">
        <f>1</f>
        <v/>
      </c>
      <c r="BU101" s="40">
        <f>IFERROR(EXP((BO101-0.372)/(0.372*(1-0.372))),"")</f>
        <v/>
      </c>
      <c r="BV101" s="40">
        <f>IFERROR(EXP((BP101-0.415)/(0.415*(1-0.415))),"")</f>
        <v/>
      </c>
      <c r="BW101" s="40">
        <f>IFERROR(EXP((BS101-0.405)/(0.405*(1-0.405))),"")</f>
        <v/>
      </c>
      <c r="BX101" s="40">
        <f>IFERROR(BT101*BU101*BV101*BW101,"")</f>
        <v/>
      </c>
      <c r="BY101" s="40">
        <f>IFERROR(BX101/(1+BX101),"")</f>
        <v/>
      </c>
      <c r="BZ101" s="40">
        <f>IFERROR(EXP(0.15*(SQRT(BH101)-0.5)/(0.5*0.5)),"")</f>
        <v/>
      </c>
      <c r="CA101" s="40">
        <f>IFERROR(IF(BY101&gt;=1,1E9,BY101/(1-BY101)*BZ101),"")</f>
        <v/>
      </c>
      <c r="CB101" s="40">
        <f>IFERROR(CA101/(1+CA101),"")</f>
        <v/>
      </c>
      <c r="CC101" s="42">
        <f>BH101</f>
        <v/>
      </c>
      <c r="CD101" s="42">
        <f>BN101</f>
        <v/>
      </c>
      <c r="CE101" s="42">
        <f>CB101</f>
        <v/>
      </c>
      <c r="CF101" s="43" t="inlineStr">
        <is>
          <t>Unfalsifiable. Very high cultural agreement. Very emotional. H_f=0.03.</t>
        </is>
      </c>
    </row>
    <row r="102" ht="40" customHeight="1">
      <c r="A102" s="55" t="n">
        <v>100</v>
      </c>
      <c r="B102" s="56" t="inlineStr">
        <is>
          <t>Free will is an illusion — every choice a person makes is the product of prior causes they did not choose.</t>
        </is>
      </c>
      <c r="C102" s="55" t="inlineStr">
        <is>
          <t>Big Ideas</t>
        </is>
      </c>
      <c r="D102" s="39" t="n">
        <v>0.8</v>
      </c>
      <c r="E102" s="39" t="n">
        <v>0.8</v>
      </c>
      <c r="F102" s="39" t="n">
        <v>0.8</v>
      </c>
      <c r="G102" s="39" t="n">
        <v>0.8</v>
      </c>
      <c r="H102" s="40">
        <f>IFERROR(AVERAGE(D102,E102,F102,G102),"")</f>
        <v/>
      </c>
      <c r="I102" s="39" t="n">
        <v>0.45</v>
      </c>
      <c r="J102" s="39" t="n">
        <v>0.42</v>
      </c>
      <c r="K102" s="39" t="n">
        <v>0.4</v>
      </c>
      <c r="L102" s="39" t="n">
        <v>0.38</v>
      </c>
      <c r="M102" s="40">
        <f>IFERROR(AVERAGE(I102,J102,K102,L102),"")</f>
        <v/>
      </c>
      <c r="N102" s="39" t="n">
        <v>0.48</v>
      </c>
      <c r="O102" s="39" t="n">
        <v>0.6</v>
      </c>
      <c r="P102" s="40">
        <f>IFERROR(IF(H102=0,0,H102^(H102^(-0.5)))*SQRT(M102)*((4*N102+O102)/5),"")</f>
        <v/>
      </c>
      <c r="Q102" s="39" t="n">
        <v>0.65</v>
      </c>
      <c r="R102" s="39" t="n">
        <v>0.8</v>
      </c>
      <c r="S102" s="39" t="n">
        <v>0.03</v>
      </c>
      <c r="T102" s="39" t="n">
        <v>0.7</v>
      </c>
      <c r="U102" s="40">
        <f>IFERROR(((Q102^1.4+T102)/2)*R102*(1-EXP(-4.605*S102)),"")</f>
        <v/>
      </c>
      <c r="V102" s="39" t="n">
        <v>0.58</v>
      </c>
      <c r="W102" s="39" t="n">
        <v>0.62</v>
      </c>
      <c r="X102" s="39" t="n">
        <v>0.6</v>
      </c>
      <c r="Y102" s="39" t="n">
        <v>0.65</v>
      </c>
      <c r="Z102" s="39" t="n">
        <v>0.42</v>
      </c>
      <c r="AA102" s="39" t="n">
        <v>0.65</v>
      </c>
      <c r="AB102" s="40">
        <f>IFERROR(Z102*(Y102*AA102^1.1)^1.1*((3*V102+2*W102+X102)/6)^0.5,"")</f>
        <v/>
      </c>
      <c r="AC102" s="40">
        <f>IFERROR(SQRT(AB102),"")</f>
        <v/>
      </c>
      <c r="AD102" s="39" t="n">
        <v>0.58</v>
      </c>
      <c r="AE102" s="39" t="n">
        <v>0.25</v>
      </c>
      <c r="AF102" s="40">
        <f>IFERROR(AE102*(1-AE102*H102),"")</f>
        <v/>
      </c>
      <c r="AG102" s="39" t="n">
        <v>0.58</v>
      </c>
      <c r="AH102" s="39" t="n">
        <v>0.62</v>
      </c>
      <c r="AI102" s="39" t="n">
        <v>0.65</v>
      </c>
      <c r="AJ102" s="40">
        <f>IFERROR(AH102^2.1*AG102^0.2*(2*AF102+3*AI102+AD102)/6,"")</f>
        <v/>
      </c>
      <c r="AK102" s="40">
        <f>IFERROR(SQRT(AJ102),"")</f>
        <v/>
      </c>
      <c r="AL102" s="39" t="n">
        <v>1</v>
      </c>
      <c r="AM102" s="40">
        <f>IFERROR(1-EXP(-AL102),"")</f>
        <v/>
      </c>
      <c r="AN102" s="40">
        <f>IFERROR(4.18*AM102^0.7*(1-AM102)^1.5,"")</f>
        <v/>
      </c>
      <c r="AO102" s="39" t="n">
        <v>0.5</v>
      </c>
      <c r="AP102" s="39" t="n">
        <v>0.48</v>
      </c>
      <c r="AQ102" s="39" t="n">
        <v>0.7</v>
      </c>
      <c r="AR102" s="39" t="n">
        <v>0.65</v>
      </c>
      <c r="AS102" s="40">
        <f>IFERROR(AN102^(1-AO102)*AP102*(4*AQ102*(1-AQ102))*AR102^1.15,"")</f>
        <v/>
      </c>
      <c r="AT102" s="40">
        <f>IFERROR(AS102^(1/3),"")</f>
        <v/>
      </c>
      <c r="AU102" s="39" t="n">
        <v>1</v>
      </c>
      <c r="AV102" s="39" t="n">
        <v>1</v>
      </c>
      <c r="AW102" s="40">
        <f>IFERROR(IF(AV102&lt;=1,AU102,AU102*(1+(AV102-1)*0.6)),"")</f>
        <v/>
      </c>
      <c r="AX102" s="39" t="n">
        <v>0.35</v>
      </c>
      <c r="AY102" s="39" t="n">
        <v>0.05</v>
      </c>
      <c r="AZ102" s="41" t="n">
        <v>0.5</v>
      </c>
      <c r="BA102" s="40">
        <f>IFERROR(AZ102/(1-AZ102),"")</f>
        <v/>
      </c>
      <c r="BB102" s="40">
        <f>IFERROR(EXP((P102-0.301)/(0.301*(1-0.301))),"")</f>
        <v/>
      </c>
      <c r="BC102" s="40">
        <f>IFERROR(EXP((U102-0.354)/(0.354*(1-0.354))),"")</f>
        <v/>
      </c>
      <c r="BD102" s="40">
        <f>IFERROR(AW102,"")</f>
        <v/>
      </c>
      <c r="BE102" s="40">
        <f>IFERROR(EXP((AX102-0.75)/(0.75*(1-0.75))),"")</f>
        <v/>
      </c>
      <c r="BF102" s="40">
        <f>IFERROR(EXP((AY102-0.5)/(0.5*(1-0.5))),"")</f>
        <v/>
      </c>
      <c r="BG102" s="40">
        <f>IFERROR(BA102*BB102*BC102*BD102*BE102*BF102,"")</f>
        <v/>
      </c>
      <c r="BH102" s="40">
        <f>IFERROR(BG102/(1+BG102),"")</f>
        <v/>
      </c>
      <c r="BI102" s="40">
        <f>IFERROR(IF(BH102&gt;=1,1E9,BH102/(1-BH102)),"")</f>
        <v/>
      </c>
      <c r="BJ102" s="40">
        <f>IFERROR(EXP((AC102-0.372)/(0.372*(1-0.372))),"")</f>
        <v/>
      </c>
      <c r="BK102" s="40">
        <f>IFERROR(EXP((AK102-0.415)/(0.415*(1-0.415))),"")</f>
        <v/>
      </c>
      <c r="BL102" s="40">
        <f>IFERROR(EXP((AT102-0.405)/(0.405*(1-0.405))),"")</f>
        <v/>
      </c>
      <c r="BM102" s="40">
        <f>IFERROR(BI102*BJ102*BK102*BL102,"")</f>
        <v/>
      </c>
      <c r="BN102" s="40">
        <f>IFERROR(BM102/(1+BM102),"")</f>
        <v/>
      </c>
      <c r="BO102" s="40">
        <f>IFERROR(IF(AC102&gt;=1,0.999,1-EXP(1-(1-AC102)^(-0.8))),"")</f>
        <v/>
      </c>
      <c r="BP102" s="40">
        <f>IFERROR(IF(AK102&gt;=1,0.999,1-EXP(1-(1-AK102)^(-0.75))),"")</f>
        <v/>
      </c>
      <c r="BQ102" s="40">
        <f>IFERROR(1-EXP(-AL102*(1+AL102)),"")</f>
        <v/>
      </c>
      <c r="BR102" s="40">
        <f>IFERROR(BQ102^(1-AO102)*AP102*(4*AQ102*(1-AQ102))*AR102^1.15,"")</f>
        <v/>
      </c>
      <c r="BS102" s="40">
        <f>IFERROR(IF(BR102^(1/3)&gt;=1,0.999,1-EXP(1-(1-BR102^(1/3))^(-0.7))),"")</f>
        <v/>
      </c>
      <c r="BT102" s="40">
        <f>1</f>
        <v/>
      </c>
      <c r="BU102" s="40">
        <f>IFERROR(EXP((BO102-0.372)/(0.372*(1-0.372))),"")</f>
        <v/>
      </c>
      <c r="BV102" s="40">
        <f>IFERROR(EXP((BP102-0.415)/(0.415*(1-0.415))),"")</f>
        <v/>
      </c>
      <c r="BW102" s="40">
        <f>IFERROR(EXP((BS102-0.405)/(0.405*(1-0.405))),"")</f>
        <v/>
      </c>
      <c r="BX102" s="40">
        <f>IFERROR(BT102*BU102*BV102*BW102,"")</f>
        <v/>
      </c>
      <c r="BY102" s="40">
        <f>IFERROR(BX102/(1+BX102),"")</f>
        <v/>
      </c>
      <c r="BZ102" s="40">
        <f>IFERROR(EXP(0.15*(SQRT(BH102)-0.5)/(0.5*0.5)),"")</f>
        <v/>
      </c>
      <c r="CA102" s="40">
        <f>IFERROR(IF(BY102&gt;=1,1E9,BY102/(1-BY102)*BZ102),"")</f>
        <v/>
      </c>
      <c r="CB102" s="40">
        <f>IFERROR(CA102/(1+CA102),"")</f>
        <v/>
      </c>
      <c r="CC102" s="42">
        <f>BH102</f>
        <v/>
      </c>
      <c r="CD102" s="42">
        <f>BN102</f>
        <v/>
      </c>
      <c r="CE102" s="42">
        <f>CB102</f>
        <v/>
      </c>
      <c r="CF102" s="43" t="inlineStr">
        <is>
          <t>Near-unfalsifiable. People divided. Existentialism as daily life. H_f=0.03.</t>
        </is>
      </c>
    </row>
  </sheetData>
  <mergeCells count="10">
    <mergeCell ref="BO1:CB1"/>
    <mergeCell ref="BI1:BN1"/>
    <mergeCell ref="AZ1:BH1"/>
    <mergeCell ref="CC1:CE1"/>
    <mergeCell ref="AL1:AT1"/>
    <mergeCell ref="Q1:U1"/>
    <mergeCell ref="V1:AC1"/>
    <mergeCell ref="AD1:AK1"/>
    <mergeCell ref="D1:P1"/>
    <mergeCell ref="AU1:A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57" t="inlineStr">
        <is>
          <t>SCORING SUMMARY — Pre-Registration Output</t>
        </is>
      </c>
    </row>
    <row r="2" ht="18" customHeight="1">
      <c r="A2" s="58" t="inlineStr">
        <is>
          <t>#</t>
        </is>
      </c>
      <c r="B2" s="58" t="inlineStr">
        <is>
          <t>Statement</t>
        </is>
      </c>
      <c r="C2" s="58" t="inlineStr">
        <is>
          <t>T_abs</t>
        </is>
      </c>
      <c r="D2" s="58" t="inlineStr">
        <is>
          <t>T_perc</t>
        </is>
      </c>
      <c r="E2" s="58" t="inlineStr">
        <is>
          <t>I</t>
        </is>
      </c>
      <c r="F2" s="58" t="inlineStr">
        <is>
          <t>Domain</t>
        </is>
      </c>
    </row>
    <row r="3" ht="36" customHeight="1">
      <c r="A3" s="37" t="n">
        <v>1</v>
      </c>
      <c r="B3" s="38" t="inlineStr">
        <is>
          <t>In many Moroccan public hospitals, patients are told to buy their own medicine from a pharmacy because the hospital has run out.</t>
        </is>
      </c>
      <c r="C3" s="59">
        <f>Scoring!CC3</f>
        <v/>
      </c>
      <c r="D3" s="59">
        <f>Scoring!CD3</f>
        <v/>
      </c>
      <c r="E3" s="59">
        <f>Scoring!CE3</f>
        <v/>
      </c>
      <c r="F3" s="60" t="inlineStr">
        <is>
          <t>Health</t>
        </is>
      </c>
    </row>
    <row r="4" ht="36" customHeight="1">
      <c r="A4" s="37" t="n">
        <v>2</v>
      </c>
      <c r="B4" s="38" t="inlineStr">
        <is>
          <t>Getting a specialist appointment in a Moroccan public hospital can take several months to over a year.</t>
        </is>
      </c>
      <c r="C4" s="59">
        <f>Scoring!CC4</f>
        <v/>
      </c>
      <c r="D4" s="59">
        <f>Scoring!CD4</f>
        <v/>
      </c>
      <c r="E4" s="59">
        <f>Scoring!CE4</f>
        <v/>
      </c>
      <c r="F4" s="60" t="inlineStr">
        <is>
          <t>Health</t>
        </is>
      </c>
    </row>
    <row r="5" ht="36" customHeight="1">
      <c r="A5" s="37" t="n">
        <v>3</v>
      </c>
      <c r="B5" s="38" t="inlineStr">
        <is>
          <t>The quality of care you receive in a Moroccan hospital depends more on who you know than on your medical card.</t>
        </is>
      </c>
      <c r="C5" s="59">
        <f>Scoring!CC5</f>
        <v/>
      </c>
      <c r="D5" s="59">
        <f>Scoring!CD5</f>
        <v/>
      </c>
      <c r="E5" s="59">
        <f>Scoring!CE5</f>
        <v/>
      </c>
      <c r="F5" s="60" t="inlineStr">
        <is>
          <t>Health</t>
        </is>
      </c>
    </row>
    <row r="6" ht="36" customHeight="1">
      <c r="A6" s="37" t="n">
        <v>4</v>
      </c>
      <c r="B6" s="38" t="inlineStr">
        <is>
          <t>There are regions in Morocco where reaching the nearest doctor means a long, difficult trip, not a quick visit.</t>
        </is>
      </c>
      <c r="C6" s="59">
        <f>Scoring!CC6</f>
        <v/>
      </c>
      <c r="D6" s="59">
        <f>Scoring!CD6</f>
        <v/>
      </c>
      <c r="E6" s="59">
        <f>Scoring!CE6</f>
        <v/>
      </c>
      <c r="F6" s="60" t="inlineStr">
        <is>
          <t>Health</t>
        </is>
      </c>
    </row>
    <row r="7" ht="36" customHeight="1">
      <c r="A7" s="37" t="n">
        <v>5</v>
      </c>
      <c r="B7" s="38" t="inlineStr">
        <is>
          <t>A doctor in a Moroccan public hospital sees so many patients per day that each consultation gets rushed down to just a few minutes.</t>
        </is>
      </c>
      <c r="C7" s="59">
        <f>Scoring!CC7</f>
        <v/>
      </c>
      <c r="D7" s="59">
        <f>Scoring!CD7</f>
        <v/>
      </c>
      <c r="E7" s="59">
        <f>Scoring!CE7</f>
        <v/>
      </c>
      <c r="F7" s="60" t="inlineStr">
        <is>
          <t>Health</t>
        </is>
      </c>
    </row>
    <row r="8" ht="36" customHeight="1">
      <c r="A8" s="37" t="n">
        <v>6</v>
      </c>
      <c r="B8" s="38" t="inlineStr">
        <is>
          <t>Private clinics in Morocco are expensive but often face the same medicine shortages as public hospitals.</t>
        </is>
      </c>
      <c r="C8" s="59">
        <f>Scoring!CC8</f>
        <v/>
      </c>
      <c r="D8" s="59">
        <f>Scoring!CD8</f>
        <v/>
      </c>
      <c r="E8" s="59">
        <f>Scoring!CE8</f>
        <v/>
      </c>
      <c r="F8" s="60" t="inlineStr">
        <is>
          <t>Health</t>
        </is>
      </c>
    </row>
    <row r="9" ht="36" customHeight="1">
      <c r="A9" s="37" t="n">
        <v>7</v>
      </c>
      <c r="B9" s="38" t="inlineStr">
        <is>
          <t>Morocco has far fewer doctors per person than international health bodies consider safe.</t>
        </is>
      </c>
      <c r="C9" s="59">
        <f>Scoring!CC9</f>
        <v/>
      </c>
      <c r="D9" s="59">
        <f>Scoring!CD9</f>
        <v/>
      </c>
      <c r="E9" s="59">
        <f>Scoring!CE9</f>
        <v/>
      </c>
      <c r="F9" s="60" t="inlineStr">
        <is>
          <t>Health</t>
        </is>
      </c>
    </row>
    <row r="10" ht="36" customHeight="1">
      <c r="A10" s="37" t="n">
        <v>8</v>
      </c>
      <c r="B10" s="38" t="inlineStr">
        <is>
          <t>Moroccan public hospitals are significantly understaffed relative to patient volume.</t>
        </is>
      </c>
      <c r="C10" s="59">
        <f>Scoring!CC10</f>
        <v/>
      </c>
      <c r="D10" s="59">
        <f>Scoring!CD10</f>
        <v/>
      </c>
      <c r="E10" s="59">
        <f>Scoring!CE10</f>
        <v/>
      </c>
      <c r="F10" s="60" t="inlineStr">
        <is>
          <t>Health</t>
        </is>
      </c>
    </row>
    <row r="11" ht="36" customHeight="1">
      <c r="A11" s="37" t="n">
        <v>9</v>
      </c>
      <c r="B11" s="38" t="inlineStr">
        <is>
          <t>Black seed (habba sawda) has proven anti-inflammatory and antioxidant properties supported by scientific research.</t>
        </is>
      </c>
      <c r="C11" s="59">
        <f>Scoring!CC11</f>
        <v/>
      </c>
      <c r="D11" s="59">
        <f>Scoring!CD11</f>
        <v/>
      </c>
      <c r="E11" s="59">
        <f>Scoring!CE11</f>
        <v/>
      </c>
      <c r="F11" s="60" t="inlineStr">
        <is>
          <t>Health</t>
        </is>
      </c>
    </row>
    <row r="12" ht="36" customHeight="1">
      <c r="A12" s="37" t="n">
        <v>10</v>
      </c>
      <c r="B12" s="38" t="inlineStr">
        <is>
          <t>Fasting during Ramadan has measurable metabolic health benefits supported by scientific studies.</t>
        </is>
      </c>
      <c r="C12" s="59">
        <f>Scoring!CC12</f>
        <v/>
      </c>
      <c r="D12" s="59">
        <f>Scoring!CD12</f>
        <v/>
      </c>
      <c r="E12" s="59">
        <f>Scoring!CE12</f>
        <v/>
      </c>
      <c r="F12" s="60" t="inlineStr">
        <is>
          <t>Health</t>
        </is>
      </c>
    </row>
    <row r="13" ht="36" customHeight="1">
      <c r="A13" s="37" t="n">
        <v>11</v>
      </c>
      <c r="B13" s="38" t="inlineStr">
        <is>
          <t>Sleeping with your phone under your pillow causes brain damage over time.</t>
        </is>
      </c>
      <c r="C13" s="59">
        <f>Scoring!CC13</f>
        <v/>
      </c>
      <c r="D13" s="59">
        <f>Scoring!CD13</f>
        <v/>
      </c>
      <c r="E13" s="59">
        <f>Scoring!CE13</f>
        <v/>
      </c>
      <c r="F13" s="60" t="inlineStr">
        <is>
          <t>Health</t>
        </is>
      </c>
    </row>
    <row r="14" ht="36" customHeight="1">
      <c r="A14" s="37" t="n">
        <v>12</v>
      </c>
      <c r="B14" s="38" t="inlineStr">
        <is>
          <t>Argan oil applied to the skin has scientifically supported antioxidant properties.</t>
        </is>
      </c>
      <c r="C14" s="59">
        <f>Scoring!CC14</f>
        <v/>
      </c>
      <c r="D14" s="59">
        <f>Scoring!CD14</f>
        <v/>
      </c>
      <c r="E14" s="59">
        <f>Scoring!CE14</f>
        <v/>
      </c>
      <c r="F14" s="60" t="inlineStr">
        <is>
          <t>Health</t>
        </is>
      </c>
    </row>
    <row r="15" ht="36" customHeight="1">
      <c r="A15" s="37" t="n">
        <v>13</v>
      </c>
      <c r="B15" s="38" t="inlineStr">
        <is>
          <t>Morocco approved a national health insurance reform (AMO Tadamon) a few years ago that is still being implemented slowly.</t>
        </is>
      </c>
      <c r="C15" s="59">
        <f>Scoring!CC15</f>
        <v/>
      </c>
      <c r="D15" s="59">
        <f>Scoring!CD15</f>
        <v/>
      </c>
      <c r="E15" s="59">
        <f>Scoring!CE15</f>
        <v/>
      </c>
      <c r="F15" s="60" t="inlineStr">
        <is>
          <t>Health</t>
        </is>
      </c>
    </row>
    <row r="16" ht="36" customHeight="1">
      <c r="A16" s="37" t="n">
        <v>14</v>
      </c>
      <c r="B16" s="38" t="inlineStr">
        <is>
          <t>Morocco's infant mortality rate has dropped dramatically over the past few decades — one of the country's real, underappreciated health successes.</t>
        </is>
      </c>
      <c r="C16" s="59">
        <f>Scoring!CC16</f>
        <v/>
      </c>
      <c r="D16" s="59">
        <f>Scoring!CD16</f>
        <v/>
      </c>
      <c r="E16" s="59">
        <f>Scoring!CE16</f>
        <v/>
      </c>
      <c r="F16" s="60" t="inlineStr">
        <is>
          <t>Health</t>
        </is>
      </c>
    </row>
    <row r="17" ht="36" customHeight="1">
      <c r="A17" s="37" t="n">
        <v>15</v>
      </c>
      <c r="B17" s="38" t="inlineStr">
        <is>
          <t>A woman who takes the contraceptive pill for years will have significant difficulty getting pregnant after stopping.</t>
        </is>
      </c>
      <c r="C17" s="59">
        <f>Scoring!CC17</f>
        <v/>
      </c>
      <c r="D17" s="59">
        <f>Scoring!CD17</f>
        <v/>
      </c>
      <c r="E17" s="59">
        <f>Scoring!CE17</f>
        <v/>
      </c>
      <c r="F17" s="60" t="inlineStr">
        <is>
          <t>Health</t>
        </is>
      </c>
    </row>
    <row r="18" ht="36" customHeight="1">
      <c r="A18" s="37" t="n">
        <v>16</v>
      </c>
      <c r="B18" s="38" t="inlineStr">
        <is>
          <t>Raw milk from a local farm is healthier and safer than pasteurized supermarket milk.</t>
        </is>
      </c>
      <c r="C18" s="59">
        <f>Scoring!CC18</f>
        <v/>
      </c>
      <c r="D18" s="59">
        <f>Scoring!CD18</f>
        <v/>
      </c>
      <c r="E18" s="59">
        <f>Scoring!CE18</f>
        <v/>
      </c>
      <c r="F18" s="60" t="inlineStr">
        <is>
          <t>Health</t>
        </is>
      </c>
    </row>
    <row r="19" ht="36" customHeight="1">
      <c r="A19" s="44" t="n">
        <v>17</v>
      </c>
      <c r="B19" s="45" t="inlineStr">
        <is>
          <t>The buying power of the average Moroccan family has significantly declined in recent years.</t>
        </is>
      </c>
      <c r="C19" s="61">
        <f>Scoring!CC19</f>
        <v/>
      </c>
      <c r="D19" s="61">
        <f>Scoring!CD19</f>
        <v/>
      </c>
      <c r="E19" s="61">
        <f>Scoring!CE19</f>
        <v/>
      </c>
      <c r="F19" s="62" t="inlineStr">
        <is>
          <t>Economics</t>
        </is>
      </c>
    </row>
    <row r="20" ht="36" customHeight="1">
      <c r="A20" s="44" t="n">
        <v>18</v>
      </c>
      <c r="B20" s="45" t="inlineStr">
        <is>
          <t>Egg prices in Morocco nearly doubled at their peak before coming back down — a sign of how volatile food prices have become.</t>
        </is>
      </c>
      <c r="C20" s="61">
        <f>Scoring!CC20</f>
        <v/>
      </c>
      <c r="D20" s="61">
        <f>Scoring!CD20</f>
        <v/>
      </c>
      <c r="E20" s="61">
        <f>Scoring!CE20</f>
        <v/>
      </c>
      <c r="F20" s="62" t="inlineStr">
        <is>
          <t>Economics</t>
        </is>
      </c>
    </row>
    <row r="21" ht="36" customHeight="1">
      <c r="A21" s="44" t="n">
        <v>19</v>
      </c>
      <c r="B21" s="45" t="inlineStr">
        <is>
          <t>Merchants and intermediaries artificially raise prices during Ramadan and back-to-school season, taking advantage of guaranteed demand.</t>
        </is>
      </c>
      <c r="C21" s="61">
        <f>Scoring!CC21</f>
        <v/>
      </c>
      <c r="D21" s="61">
        <f>Scoring!CD21</f>
        <v/>
      </c>
      <c r="E21" s="61">
        <f>Scoring!CE21</f>
        <v/>
      </c>
      <c r="F21" s="62" t="inlineStr">
        <is>
          <t>Economics</t>
        </is>
      </c>
    </row>
    <row r="22" ht="36" customHeight="1">
      <c r="A22" s="44" t="n">
        <v>20</v>
      </c>
      <c r="B22" s="45" t="inlineStr">
        <is>
          <t>Meat prices in Morocco are effectively controlled by a small group of intermediaries and butchers who limit real competition.</t>
        </is>
      </c>
      <c r="C22" s="61">
        <f>Scoring!CC22</f>
        <v/>
      </c>
      <c r="D22" s="61">
        <f>Scoring!CD22</f>
        <v/>
      </c>
      <c r="E22" s="61">
        <f>Scoring!CE22</f>
        <v/>
      </c>
      <c r="F22" s="62" t="inlineStr">
        <is>
          <t>Economics</t>
        </is>
      </c>
    </row>
    <row r="23" ht="36" customHeight="1">
      <c r="A23" s="44" t="n">
        <v>21</v>
      </c>
      <c r="B23" s="45" t="inlineStr">
        <is>
          <t>The government announced sufficient sheep supply for Eid Al Adha, but many lower-income families could not afford to buy one.</t>
        </is>
      </c>
      <c r="C23" s="61">
        <f>Scoring!CC23</f>
        <v/>
      </c>
      <c r="D23" s="61">
        <f>Scoring!CD23</f>
        <v/>
      </c>
      <c r="E23" s="61">
        <f>Scoring!CE23</f>
        <v/>
      </c>
      <c r="F23" s="62" t="inlineStr">
        <is>
          <t>Economics</t>
        </is>
      </c>
    </row>
    <row r="24" ht="36" customHeight="1">
      <c r="A24" s="44" t="n">
        <v>22</v>
      </c>
      <c r="B24" s="45" t="inlineStr">
        <is>
          <t>Official Moroccan government statistics on food availability often do not reflect what people actually find in markets.</t>
        </is>
      </c>
      <c r="C24" s="61">
        <f>Scoring!CC24</f>
        <v/>
      </c>
      <c r="D24" s="61">
        <f>Scoring!CD24</f>
        <v/>
      </c>
      <c r="E24" s="61">
        <f>Scoring!CE24</f>
        <v/>
      </c>
      <c r="F24" s="62" t="inlineStr">
        <is>
          <t>Economics</t>
        </is>
      </c>
    </row>
    <row r="25" ht="36" customHeight="1">
      <c r="A25" s="44" t="n">
        <v>23</v>
      </c>
      <c r="B25" s="45" t="inlineStr">
        <is>
          <t>Buying gold is a more reliable store of value than a Moroccan bank savings account over the long run.</t>
        </is>
      </c>
      <c r="C25" s="61">
        <f>Scoring!CC25</f>
        <v/>
      </c>
      <c r="D25" s="61">
        <f>Scoring!CD25</f>
        <v/>
      </c>
      <c r="E25" s="61">
        <f>Scoring!CE25</f>
        <v/>
      </c>
      <c r="F25" s="62" t="inlineStr">
        <is>
          <t>Economics</t>
        </is>
      </c>
    </row>
    <row r="26" ht="36" customHeight="1">
      <c r="A26" s="44" t="n">
        <v>24</v>
      </c>
      <c r="B26" s="45" t="inlineStr">
        <is>
          <t>The legal minimum wage (SMIG) in Morocco is barely enough to live on and is frequently not respected by small businesses anyway.</t>
        </is>
      </c>
      <c r="C26" s="61">
        <f>Scoring!CC26</f>
        <v/>
      </c>
      <c r="D26" s="61">
        <f>Scoring!CD26</f>
        <v/>
      </c>
      <c r="E26" s="61">
        <f>Scoring!CE26</f>
        <v/>
      </c>
      <c r="F26" s="62" t="inlineStr">
        <is>
          <t>Economics</t>
        </is>
      </c>
    </row>
    <row r="27" ht="36" customHeight="1">
      <c r="A27" s="44" t="n">
        <v>25</v>
      </c>
      <c r="B27" s="45" t="inlineStr">
        <is>
          <t>A family of four needs well above minimum wage to live decently in a mid-sized Moroccan city.</t>
        </is>
      </c>
      <c r="C27" s="61">
        <f>Scoring!CC27</f>
        <v/>
      </c>
      <c r="D27" s="61">
        <f>Scoring!CD27</f>
        <v/>
      </c>
      <c r="E27" s="61">
        <f>Scoring!CE27</f>
        <v/>
      </c>
      <c r="F27" s="62" t="inlineStr">
        <is>
          <t>Economics</t>
        </is>
      </c>
    </row>
    <row r="28" ht="36" customHeight="1">
      <c r="A28" s="44" t="n">
        <v>26</v>
      </c>
      <c r="B28" s="45" t="inlineStr">
        <is>
          <t>In Casablanca and Rabat, a decent family life costs far more than most salaries actually pay.</t>
        </is>
      </c>
      <c r="C28" s="61">
        <f>Scoring!CC28</f>
        <v/>
      </c>
      <c r="D28" s="61">
        <f>Scoring!CD28</f>
        <v/>
      </c>
      <c r="E28" s="61">
        <f>Scoring!CE28</f>
        <v/>
      </c>
      <c r="F28" s="62" t="inlineStr">
        <is>
          <t>Economics</t>
        </is>
      </c>
    </row>
    <row r="29" ht="36" customHeight="1">
      <c r="A29" s="44" t="n">
        <v>27</v>
      </c>
      <c r="B29" s="45" t="inlineStr">
        <is>
          <t>Many Moroccan families live on very little and do not consider themselves poor.</t>
        </is>
      </c>
      <c r="C29" s="61">
        <f>Scoring!CC29</f>
        <v/>
      </c>
      <c r="D29" s="61">
        <f>Scoring!CD29</f>
        <v/>
      </c>
      <c r="E29" s="61">
        <f>Scoring!CE29</f>
        <v/>
      </c>
      <c r="F29" s="62" t="inlineStr">
        <is>
          <t>Economics</t>
        </is>
      </c>
    </row>
    <row r="30" ht="36" customHeight="1">
      <c r="A30" s="44" t="n">
        <v>28</v>
      </c>
      <c r="B30" s="45" t="inlineStr">
        <is>
          <t>Fully private school teachers in Morocco can earn barely above minimum wage with no social insurance, even after years of experience.</t>
        </is>
      </c>
      <c r="C30" s="61">
        <f>Scoring!CC30</f>
        <v/>
      </c>
      <c r="D30" s="61">
        <f>Scoring!CD30</f>
        <v/>
      </c>
      <c r="E30" s="61">
        <f>Scoring!CE30</f>
        <v/>
      </c>
      <c r="F30" s="62" t="inlineStr">
        <is>
          <t>Economics</t>
        </is>
      </c>
    </row>
    <row r="31" ht="36" customHeight="1">
      <c r="A31" s="44" t="n">
        <v>29</v>
      </c>
      <c r="B31" s="45" t="inlineStr">
        <is>
          <t>A Moroccan graduate who chose engineering, medicine, or IT has real job prospects today — the shortage is for graduates in other fields.</t>
        </is>
      </c>
      <c r="C31" s="61">
        <f>Scoring!CC31</f>
        <v/>
      </c>
      <c r="D31" s="61">
        <f>Scoring!CD31</f>
        <v/>
      </c>
      <c r="E31" s="61">
        <f>Scoring!CE31</f>
        <v/>
      </c>
      <c r="F31" s="62" t="inlineStr">
        <is>
          <t>Economics</t>
        </is>
      </c>
    </row>
    <row r="32" ht="36" customHeight="1">
      <c r="A32" s="44" t="n">
        <v>30</v>
      </c>
      <c r="B32" s="45" t="inlineStr">
        <is>
          <t>The Moroccan private sector is growing but so concentrated in Casablanca that graduates in other cities have significantly fewer options.</t>
        </is>
      </c>
      <c r="C32" s="61">
        <f>Scoring!CC32</f>
        <v/>
      </c>
      <c r="D32" s="61">
        <f>Scoring!CD32</f>
        <v/>
      </c>
      <c r="E32" s="61">
        <f>Scoring!CE32</f>
        <v/>
      </c>
      <c r="F32" s="62" t="inlineStr">
        <is>
          <t>Economics</t>
        </is>
      </c>
    </row>
    <row r="33" ht="36" customHeight="1">
      <c r="A33" s="44" t="n">
        <v>31</v>
      </c>
      <c r="B33" s="45" t="inlineStr">
        <is>
          <t>Personal connections (ma3rifa) still open doors in Morocco, but raw corruption in hiring is declining.</t>
        </is>
      </c>
      <c r="C33" s="61">
        <f>Scoring!CC33</f>
        <v/>
      </c>
      <c r="D33" s="61">
        <f>Scoring!CD33</f>
        <v/>
      </c>
      <c r="E33" s="61">
        <f>Scoring!CE33</f>
        <v/>
      </c>
      <c r="F33" s="62" t="inlineStr">
        <is>
          <t>Economics</t>
        </is>
      </c>
    </row>
    <row r="34" ht="36" customHeight="1">
      <c r="A34" s="44" t="n">
        <v>32</v>
      </c>
      <c r="B34" s="45" t="inlineStr">
        <is>
          <t>Young Moroccans are staying in their parents' home longer not by choice but because they cannot afford rent.</t>
        </is>
      </c>
      <c r="C34" s="61">
        <f>Scoring!CC34</f>
        <v/>
      </c>
      <c r="D34" s="61">
        <f>Scoring!CD34</f>
        <v/>
      </c>
      <c r="E34" s="61">
        <f>Scoring!CE34</f>
        <v/>
      </c>
      <c r="F34" s="62" t="inlineStr">
        <is>
          <t>Economics</t>
        </is>
      </c>
    </row>
    <row r="35" ht="36" customHeight="1">
      <c r="A35" s="44" t="n">
        <v>33</v>
      </c>
      <c r="B35" s="45" t="inlineStr">
        <is>
          <t>Building collapses in old medinas happen partly because owners avoid renovation to prevent eviction by authorities.</t>
        </is>
      </c>
      <c r="C35" s="61">
        <f>Scoring!CC35</f>
        <v/>
      </c>
      <c r="D35" s="61">
        <f>Scoring!CD35</f>
        <v/>
      </c>
      <c r="E35" s="61">
        <f>Scoring!CE35</f>
        <v/>
      </c>
      <c r="F35" s="62" t="inlineStr">
        <is>
          <t>Economics</t>
        </is>
      </c>
    </row>
    <row r="36" ht="36" customHeight="1">
      <c r="A36" s="44" t="n">
        <v>34</v>
      </c>
      <c r="B36" s="45" t="inlineStr">
        <is>
          <t>Morocco's water reserves in dams dropped to historically low levels in recent years.</t>
        </is>
      </c>
      <c r="C36" s="61">
        <f>Scoring!CC36</f>
        <v/>
      </c>
      <c r="D36" s="61">
        <f>Scoring!CD36</f>
        <v/>
      </c>
      <c r="E36" s="61">
        <f>Scoring!CE36</f>
        <v/>
      </c>
      <c r="F36" s="62" t="inlineStr">
        <is>
          <t>Economics</t>
        </is>
      </c>
    </row>
    <row r="37" ht="36" customHeight="1">
      <c r="A37" s="44" t="n">
        <v>35</v>
      </c>
      <c r="B37" s="45" t="inlineStr">
        <is>
          <t>Available water per capita in Morocco has dropped sharply since the 1960s, to a fraction of what it used to be.</t>
        </is>
      </c>
      <c r="C37" s="61">
        <f>Scoring!CC37</f>
        <v/>
      </c>
      <c r="D37" s="61">
        <f>Scoring!CD37</f>
        <v/>
      </c>
      <c r="E37" s="61">
        <f>Scoring!CE37</f>
        <v/>
      </c>
      <c r="F37" s="62" t="inlineStr">
        <is>
          <t>Economics</t>
        </is>
      </c>
    </row>
    <row r="38" ht="36" customHeight="1">
      <c r="A38" s="44" t="n">
        <v>36</v>
      </c>
      <c r="B38" s="45" t="inlineStr">
        <is>
          <t>Avocado farming in Morocco is depleting underground water reserves and worsening the drought in affected regions.</t>
        </is>
      </c>
      <c r="C38" s="61">
        <f>Scoring!CC38</f>
        <v/>
      </c>
      <c r="D38" s="61">
        <f>Scoring!CD38</f>
        <v/>
      </c>
      <c r="E38" s="61">
        <f>Scoring!CE38</f>
        <v/>
      </c>
      <c r="F38" s="62" t="inlineStr">
        <is>
          <t>Economics</t>
        </is>
      </c>
    </row>
    <row r="39" ht="36" customHeight="1">
      <c r="A39" s="44" t="n">
        <v>37</v>
      </c>
      <c r="B39" s="45" t="inlineStr">
        <is>
          <t>Morocco has entered several consecutive years of drought that are no longer cyclical but structural.</t>
        </is>
      </c>
      <c r="C39" s="61">
        <f>Scoring!CC39</f>
        <v/>
      </c>
      <c r="D39" s="61">
        <f>Scoring!CD39</f>
        <v/>
      </c>
      <c r="E39" s="61">
        <f>Scoring!CE39</f>
        <v/>
      </c>
      <c r="F39" s="62" t="inlineStr">
        <is>
          <t>Economics</t>
        </is>
      </c>
    </row>
    <row r="40" ht="36" customHeight="1">
      <c r="A40" s="44" t="n">
        <v>38</v>
      </c>
      <c r="B40" s="45" t="inlineStr">
        <is>
          <t>Morocco's economy kept growing in recent years despite global pressures, even if not by much.</t>
        </is>
      </c>
      <c r="C40" s="61">
        <f>Scoring!CC40</f>
        <v/>
      </c>
      <c r="D40" s="61">
        <f>Scoring!CD40</f>
        <v/>
      </c>
      <c r="E40" s="61">
        <f>Scoring!CE40</f>
        <v/>
      </c>
      <c r="F40" s="62" t="inlineStr">
        <is>
          <t>Economics</t>
        </is>
      </c>
    </row>
    <row r="41" ht="36" customHeight="1">
      <c r="A41" s="44" t="n">
        <v>39</v>
      </c>
      <c r="B41" s="45" t="inlineStr">
        <is>
          <t>Irregular migration (harraga) attempts from Morocco have increased in recent years despite the high risk of death at sea.</t>
        </is>
      </c>
      <c r="C41" s="61">
        <f>Scoring!CC41</f>
        <v/>
      </c>
      <c r="D41" s="61">
        <f>Scoring!CD41</f>
        <v/>
      </c>
      <c r="E41" s="61">
        <f>Scoring!CE41</f>
        <v/>
      </c>
      <c r="F41" s="62" t="inlineStr">
        <is>
          <t>Economics</t>
        </is>
      </c>
    </row>
    <row r="42" ht="36" customHeight="1">
      <c r="A42" s="46" t="n">
        <v>40</v>
      </c>
      <c r="B42" s="47" t="inlineStr">
        <is>
          <t>The bac in Morocco is a legitimate national exam taken under the same conditions by all students regardless of school type.</t>
        </is>
      </c>
      <c r="C42" s="63">
        <f>Scoring!CC42</f>
        <v/>
      </c>
      <c r="D42" s="63">
        <f>Scoring!CD42</f>
        <v/>
      </c>
      <c r="E42" s="63">
        <f>Scoring!CE42</f>
        <v/>
      </c>
      <c r="F42" s="64" t="inlineStr">
        <is>
          <t>Education</t>
        </is>
      </c>
    </row>
    <row r="43" ht="36" customHeight="1">
      <c r="A43" s="46" t="n">
        <v>41</v>
      </c>
      <c r="B43" s="47" t="inlineStr">
        <is>
          <t>Private school students in Morocco have statistically higher bac pass rates than public school students, not because they are more capable but because they have more preparation resources.</t>
        </is>
      </c>
      <c r="C43" s="63">
        <f>Scoring!CC43</f>
        <v/>
      </c>
      <c r="D43" s="63">
        <f>Scoring!CD43</f>
        <v/>
      </c>
      <c r="E43" s="63">
        <f>Scoring!CE43</f>
        <v/>
      </c>
      <c r="F43" s="64" t="inlineStr">
        <is>
          <t>Education</t>
        </is>
      </c>
    </row>
    <row r="44" ht="36" customHeight="1">
      <c r="A44" s="46" t="n">
        <v>42</v>
      </c>
      <c r="B44" s="47" t="inlineStr">
        <is>
          <t>The top bac scores in Morocco consistently come from public school students.</t>
        </is>
      </c>
      <c r="C44" s="63">
        <f>Scoring!CC44</f>
        <v/>
      </c>
      <c r="D44" s="63">
        <f>Scoring!CD44</f>
        <v/>
      </c>
      <c r="E44" s="63">
        <f>Scoring!CE44</f>
        <v/>
      </c>
      <c r="F44" s="64" t="inlineStr">
        <is>
          <t>Education</t>
        </is>
      </c>
    </row>
    <row r="45" ht="36" customHeight="1">
      <c r="A45" s="46" t="n">
        <v>43</v>
      </c>
      <c r="B45" s="47" t="inlineStr">
        <is>
          <t>The Moroccan school system fails both its strongest and its weakest students — it is built for the average and serves no one well.</t>
        </is>
      </c>
      <c r="C45" s="63">
        <f>Scoring!CC45</f>
        <v/>
      </c>
      <c r="D45" s="63">
        <f>Scoring!CD45</f>
        <v/>
      </c>
      <c r="E45" s="63">
        <f>Scoring!CE45</f>
        <v/>
      </c>
      <c r="F45" s="64" t="inlineStr">
        <is>
          <t>Education</t>
        </is>
      </c>
    </row>
    <row r="46" ht="36" customHeight="1">
      <c r="A46" s="46" t="n">
        <v>44</v>
      </c>
      <c r="B46" s="47" t="inlineStr">
        <is>
          <t>Arabic as a language of classroom instruction is in decline — students who succeed professionally in Morocco overwhelmingly switch to French.</t>
        </is>
      </c>
      <c r="C46" s="63">
        <f>Scoring!CC46</f>
        <v/>
      </c>
      <c r="D46" s="63">
        <f>Scoring!CD46</f>
        <v/>
      </c>
      <c r="E46" s="63">
        <f>Scoring!CE46</f>
        <v/>
      </c>
      <c r="F46" s="64" t="inlineStr">
        <is>
          <t>Education</t>
        </is>
      </c>
    </row>
    <row r="47" ht="36" customHeight="1">
      <c r="A47" s="46" t="n">
        <v>45</v>
      </c>
      <c r="B47" s="47" t="inlineStr">
        <is>
          <t>Girls in Morocco drop out of school at higher rates than boys in rural areas.</t>
        </is>
      </c>
      <c r="C47" s="63">
        <f>Scoring!CC47</f>
        <v/>
      </c>
      <c r="D47" s="63">
        <f>Scoring!CD47</f>
        <v/>
      </c>
      <c r="E47" s="63">
        <f>Scoring!CE47</f>
        <v/>
      </c>
      <c r="F47" s="64" t="inlineStr">
        <is>
          <t>Education</t>
        </is>
      </c>
    </row>
    <row r="48" ht="36" customHeight="1">
      <c r="A48" s="46" t="n">
        <v>46</v>
      </c>
      <c r="B48" s="47" t="inlineStr">
        <is>
          <t>Moroccan public university lecture halls regularly hold far more students than they were built for.</t>
        </is>
      </c>
      <c r="C48" s="63">
        <f>Scoring!CC48</f>
        <v/>
      </c>
      <c r="D48" s="63">
        <f>Scoring!CD48</f>
        <v/>
      </c>
      <c r="E48" s="63">
        <f>Scoring!CE48</f>
        <v/>
      </c>
      <c r="F48" s="64" t="inlineStr">
        <is>
          <t>Education</t>
        </is>
      </c>
    </row>
    <row r="49" ht="36" customHeight="1">
      <c r="A49" s="46" t="n">
        <v>47</v>
      </c>
      <c r="B49" s="47" t="inlineStr">
        <is>
          <t>A Moroccan licence degree (undergraduate) no longer provides a meaningful employment advantage on its own.</t>
        </is>
      </c>
      <c r="C49" s="63">
        <f>Scoring!CC49</f>
        <v/>
      </c>
      <c r="D49" s="63">
        <f>Scoring!CD49</f>
        <v/>
      </c>
      <c r="E49" s="63">
        <f>Scoring!CE49</f>
        <v/>
      </c>
      <c r="F49" s="64" t="inlineStr">
        <is>
          <t>Education</t>
        </is>
      </c>
    </row>
    <row r="50" ht="36" customHeight="1">
      <c r="A50" s="46" t="n">
        <v>48</v>
      </c>
      <c r="B50" s="47" t="inlineStr">
        <is>
          <t>Student housing (cités universitaires) is so scarce that many students commute long hours daily or rent rooms they cannot afford.</t>
        </is>
      </c>
      <c r="C50" s="63">
        <f>Scoring!CC50</f>
        <v/>
      </c>
      <c r="D50" s="63">
        <f>Scoring!CD50</f>
        <v/>
      </c>
      <c r="E50" s="63">
        <f>Scoring!CE50</f>
        <v/>
      </c>
      <c r="F50" s="64" t="inlineStr">
        <is>
          <t>Education</t>
        </is>
      </c>
    </row>
    <row r="51" ht="36" customHeight="1">
      <c r="A51" s="46" t="n">
        <v>49</v>
      </c>
      <c r="B51" s="47" t="inlineStr">
        <is>
          <t>The Moroccan economy does not produce enough diverse jobs to absorb its university graduates regardless of degree quality.</t>
        </is>
      </c>
      <c r="C51" s="63">
        <f>Scoring!CC51</f>
        <v/>
      </c>
      <c r="D51" s="63">
        <f>Scoring!CD51</f>
        <v/>
      </c>
      <c r="E51" s="63">
        <f>Scoring!CE51</f>
        <v/>
      </c>
      <c r="F51" s="64" t="inlineStr">
        <is>
          <t>Education</t>
        </is>
      </c>
    </row>
    <row r="52" ht="36" customHeight="1">
      <c r="A52" s="46" t="n">
        <v>50</v>
      </c>
      <c r="B52" s="47" t="inlineStr">
        <is>
          <t>Where you studied in Morocco matters less for employment than who you know.</t>
        </is>
      </c>
      <c r="C52" s="63">
        <f>Scoring!CC52</f>
        <v/>
      </c>
      <c r="D52" s="63">
        <f>Scoring!CD52</f>
        <v/>
      </c>
      <c r="E52" s="63">
        <f>Scoring!CE52</f>
        <v/>
      </c>
      <c r="F52" s="64" t="inlineStr">
        <is>
          <t>Education</t>
        </is>
      </c>
    </row>
    <row r="53" ht="36" customHeight="1">
      <c r="A53" s="46" t="n">
        <v>51</v>
      </c>
      <c r="B53" s="47" t="inlineStr">
        <is>
          <t>Islamic education in Moroccan schools has become a formal subject with little practical or spiritual content.</t>
        </is>
      </c>
      <c r="C53" s="63">
        <f>Scoring!CC53</f>
        <v/>
      </c>
      <c r="D53" s="63">
        <f>Scoring!CD53</f>
        <v/>
      </c>
      <c r="E53" s="63">
        <f>Scoring!CE53</f>
        <v/>
      </c>
      <c r="F53" s="64" t="inlineStr">
        <is>
          <t>Education</t>
        </is>
      </c>
    </row>
    <row r="54" ht="36" customHeight="1">
      <c r="A54" s="46" t="n">
        <v>52</v>
      </c>
      <c r="B54" s="47" t="inlineStr">
        <is>
          <t>A newly hired state teacher in Morocco starts on a salary that's low for the cost of living in major cities.</t>
        </is>
      </c>
      <c r="C54" s="63">
        <f>Scoring!CC54</f>
        <v/>
      </c>
      <c r="D54" s="63">
        <f>Scoring!CD54</f>
        <v/>
      </c>
      <c r="E54" s="63">
        <f>Scoring!CE54</f>
        <v/>
      </c>
      <c r="F54" s="64" t="inlineStr">
        <is>
          <t>Education</t>
        </is>
      </c>
    </row>
    <row r="55" ht="36" customHeight="1">
      <c r="A55" s="46" t="n">
        <v>53</v>
      </c>
      <c r="B55" s="47" t="inlineStr">
        <is>
          <t>Teachers in Morocco are widely blamed for the failures of an education system they did not design and cannot change alone.</t>
        </is>
      </c>
      <c r="C55" s="63">
        <f>Scoring!CC55</f>
        <v/>
      </c>
      <c r="D55" s="63">
        <f>Scoring!CD55</f>
        <v/>
      </c>
      <c r="E55" s="63">
        <f>Scoring!CE55</f>
        <v/>
      </c>
      <c r="F55" s="64" t="inlineStr">
        <is>
          <t>Education</t>
        </is>
      </c>
    </row>
    <row r="56" ht="36" customHeight="1">
      <c r="A56" s="46" t="n">
        <v>54</v>
      </c>
      <c r="B56" s="47" t="inlineStr">
        <is>
          <t>The distribution of teachers in Morocco is deeply unequal — some regions have too many, others have almost none.</t>
        </is>
      </c>
      <c r="C56" s="63">
        <f>Scoring!CC56</f>
        <v/>
      </c>
      <c r="D56" s="63">
        <f>Scoring!CD56</f>
        <v/>
      </c>
      <c r="E56" s="63">
        <f>Scoring!CE56</f>
        <v/>
      </c>
      <c r="F56" s="64" t="inlineStr">
        <is>
          <t>Education</t>
        </is>
      </c>
    </row>
    <row r="57" ht="36" customHeight="1">
      <c r="A57" s="48" t="n">
        <v>55</v>
      </c>
      <c r="B57" s="49" t="inlineStr">
        <is>
          <t>Morocco's performance at the 2022 World Cup genuinely united Moroccans across class, region, and generation in a way few events do.</t>
        </is>
      </c>
      <c r="C57" s="65">
        <f>Scoring!CC57</f>
        <v/>
      </c>
      <c r="D57" s="65">
        <f>Scoring!CD57</f>
        <v/>
      </c>
      <c r="E57" s="65">
        <f>Scoring!CE57</f>
        <v/>
      </c>
      <c r="F57" s="66" t="inlineStr">
        <is>
          <t>Social</t>
        </is>
      </c>
    </row>
    <row r="58" ht="36" customHeight="1">
      <c r="A58" s="48" t="n">
        <v>56</v>
      </c>
      <c r="B58" s="49" t="inlineStr">
        <is>
          <t>The Moroccan government's investment in sports infrastructure as a development strategy comes at the expense of health and education.</t>
        </is>
      </c>
      <c r="C58" s="65">
        <f>Scoring!CC58</f>
        <v/>
      </c>
      <c r="D58" s="65">
        <f>Scoring!CD58</f>
        <v/>
      </c>
      <c r="E58" s="65">
        <f>Scoring!CE58</f>
        <v/>
      </c>
      <c r="F58" s="66" t="inlineStr">
        <is>
          <t>Social</t>
        </is>
      </c>
    </row>
    <row r="59" ht="36" customHeight="1">
      <c r="A59" s="48" t="n">
        <v>57</v>
      </c>
      <c r="B59" s="49" t="inlineStr">
        <is>
          <t>For many lower-income Moroccans, following the national football team is one of the few widely accessible sources of collective joy and release.</t>
        </is>
      </c>
      <c r="C59" s="65">
        <f>Scoring!CC59</f>
        <v/>
      </c>
      <c r="D59" s="65">
        <f>Scoring!CD59</f>
        <v/>
      </c>
      <c r="E59" s="65">
        <f>Scoring!CE59</f>
        <v/>
      </c>
      <c r="F59" s="66" t="inlineStr">
        <is>
          <t>Social</t>
        </is>
      </c>
    </row>
    <row r="60" ht="36" customHeight="1">
      <c r="A60" s="48" t="n">
        <v>58</v>
      </c>
      <c r="B60" s="49" t="inlineStr">
        <is>
          <t>The 2030 World Cup co-hosting by Morocco, Spain, and Portugal will bring lasting economic benefit to ordinary Moroccans.</t>
        </is>
      </c>
      <c r="C60" s="65">
        <f>Scoring!CC60</f>
        <v/>
      </c>
      <c r="D60" s="65">
        <f>Scoring!CD60</f>
        <v/>
      </c>
      <c r="E60" s="65">
        <f>Scoring!CE60</f>
        <v/>
      </c>
      <c r="F60" s="66" t="inlineStr">
        <is>
          <t>Social</t>
        </is>
      </c>
    </row>
    <row r="61" ht="36" customHeight="1">
      <c r="A61" s="48" t="n">
        <v>59</v>
      </c>
      <c r="B61" s="49" t="inlineStr">
        <is>
          <t>The gap in values, lifestyle expectations, and worldview between Moroccan parents and their adult children is significantly larger than in Western European families.</t>
        </is>
      </c>
      <c r="C61" s="65">
        <f>Scoring!CC61</f>
        <v/>
      </c>
      <c r="D61" s="65">
        <f>Scoring!CD61</f>
        <v/>
      </c>
      <c r="E61" s="65">
        <f>Scoring!CE61</f>
        <v/>
      </c>
      <c r="F61" s="66" t="inlineStr">
        <is>
          <t>Social</t>
        </is>
      </c>
    </row>
    <row r="62" ht="36" customHeight="1">
      <c r="A62" s="48" t="n">
        <v>60</v>
      </c>
      <c r="B62" s="49" t="inlineStr">
        <is>
          <t>Despite this gap, Moroccan families maintain stronger daily bonds and practical solidarity than most European families.</t>
        </is>
      </c>
      <c r="C62" s="65">
        <f>Scoring!CC62</f>
        <v/>
      </c>
      <c r="D62" s="65">
        <f>Scoring!CD62</f>
        <v/>
      </c>
      <c r="E62" s="65">
        <f>Scoring!CE62</f>
        <v/>
      </c>
      <c r="F62" s="66" t="inlineStr">
        <is>
          <t>Social</t>
        </is>
      </c>
    </row>
    <row r="63" ht="36" customHeight="1">
      <c r="A63" s="48" t="n">
        <v>61</v>
      </c>
      <c r="B63" s="49" t="inlineStr">
        <is>
          <t>Pressure on Moroccan students during exam periods causes measurable psychological harm that is not taken seriously by schools or parents.</t>
        </is>
      </c>
      <c r="C63" s="65">
        <f>Scoring!CC63</f>
        <v/>
      </c>
      <c r="D63" s="65">
        <f>Scoring!CD63</f>
        <v/>
      </c>
      <c r="E63" s="65">
        <f>Scoring!CE63</f>
        <v/>
      </c>
      <c r="F63" s="66" t="inlineStr">
        <is>
          <t>Social</t>
        </is>
      </c>
    </row>
    <row r="64" ht="36" customHeight="1">
      <c r="A64" s="48" t="n">
        <v>62</v>
      </c>
      <c r="B64" s="49" t="inlineStr">
        <is>
          <t>Moroccan young people want to emigrate primarily because opportunities abroad are visibly better, not purely because conditions at home are terrible.</t>
        </is>
      </c>
      <c r="C64" s="65">
        <f>Scoring!CC64</f>
        <v/>
      </c>
      <c r="D64" s="65">
        <f>Scoring!CD64</f>
        <v/>
      </c>
      <c r="E64" s="65">
        <f>Scoring!CE64</f>
        <v/>
      </c>
      <c r="F64" s="66" t="inlineStr">
        <is>
          <t>Social</t>
        </is>
      </c>
    </row>
    <row r="65" ht="36" customHeight="1">
      <c r="A65" s="48" t="n">
        <v>63</v>
      </c>
      <c r="B65" s="49" t="inlineStr">
        <is>
          <t>Men who cook regularly at home in Morocco are still viewed negatively by a significant portion of older Moroccan men.</t>
        </is>
      </c>
      <c r="C65" s="65">
        <f>Scoring!CC65</f>
        <v/>
      </c>
      <c r="D65" s="65">
        <f>Scoring!CD65</f>
        <v/>
      </c>
      <c r="E65" s="65">
        <f>Scoring!CE65</f>
        <v/>
      </c>
      <c r="F65" s="66" t="inlineStr">
        <is>
          <t>Social</t>
        </is>
      </c>
    </row>
    <row r="66" ht="36" customHeight="1">
      <c r="A66" s="48" t="n">
        <v>64</v>
      </c>
      <c r="B66" s="49" t="inlineStr">
        <is>
          <t>Moroccan women now legally pass their nationality to their children regardless of the father's nationality.</t>
        </is>
      </c>
      <c r="C66" s="65">
        <f>Scoring!CC66</f>
        <v/>
      </c>
      <c r="D66" s="65">
        <f>Scoring!CD66</f>
        <v/>
      </c>
      <c r="E66" s="65">
        <f>Scoring!CE66</f>
        <v/>
      </c>
      <c r="F66" s="66" t="inlineStr">
        <is>
          <t>Social</t>
        </is>
      </c>
    </row>
    <row r="67" ht="36" customHeight="1">
      <c r="A67" s="48" t="n">
        <v>65</v>
      </c>
      <c r="B67" s="49" t="inlineStr">
        <is>
          <t>Divorce rates in Morocco have been rising steadily for the past decade.</t>
        </is>
      </c>
      <c r="C67" s="65">
        <f>Scoring!CC67</f>
        <v/>
      </c>
      <c r="D67" s="65">
        <f>Scoring!CD67</f>
        <v/>
      </c>
      <c r="E67" s="65">
        <f>Scoring!CE67</f>
        <v/>
      </c>
      <c r="F67" s="66" t="inlineStr">
        <is>
          <t>Social</t>
        </is>
      </c>
    </row>
    <row r="68" ht="36" customHeight="1">
      <c r="A68" s="48" t="n">
        <v>66</v>
      </c>
      <c r="B68" s="49" t="inlineStr">
        <is>
          <t>Speaking French in a professional context in Morocco signals higher social status than speaking Arabic.</t>
        </is>
      </c>
      <c r="C68" s="65">
        <f>Scoring!CC68</f>
        <v/>
      </c>
      <c r="D68" s="65">
        <f>Scoring!CD68</f>
        <v/>
      </c>
      <c r="E68" s="65">
        <f>Scoring!CE68</f>
        <v/>
      </c>
      <c r="F68" s="66" t="inlineStr">
        <is>
          <t>Social</t>
        </is>
      </c>
    </row>
    <row r="69" ht="36" customHeight="1">
      <c r="A69" s="48" t="n">
        <v>67</v>
      </c>
      <c r="B69" s="49" t="inlineStr">
        <is>
          <t>WhatsApp is the primary source of daily news for a majority of Moroccans across all age groups.</t>
        </is>
      </c>
      <c r="C69" s="65">
        <f>Scoring!CC69</f>
        <v/>
      </c>
      <c r="D69" s="65">
        <f>Scoring!CD69</f>
        <v/>
      </c>
      <c r="E69" s="65">
        <f>Scoring!CE69</f>
        <v/>
      </c>
      <c r="F69" s="66" t="inlineStr">
        <is>
          <t>Social</t>
        </is>
      </c>
    </row>
    <row r="70" ht="36" customHeight="1">
      <c r="A70" s="48" t="n">
        <v>68</v>
      </c>
      <c r="B70" s="49" t="inlineStr">
        <is>
          <t>Moroccans are generally more media-literate than outsiders assume — skepticism toward news sources increases with media exposure.</t>
        </is>
      </c>
      <c r="C70" s="65">
        <f>Scoring!CC70</f>
        <v/>
      </c>
      <c r="D70" s="65">
        <f>Scoring!CD70</f>
        <v/>
      </c>
      <c r="E70" s="65">
        <f>Scoring!CE70</f>
        <v/>
      </c>
      <c r="F70" s="66" t="inlineStr">
        <is>
          <t>Social</t>
        </is>
      </c>
    </row>
    <row r="71" ht="36" customHeight="1">
      <c r="A71" s="48" t="n">
        <v>69</v>
      </c>
      <c r="B71" s="49" t="inlineStr">
        <is>
          <t>Hespress is the most widely read news website in Morocco but is considered sensationalist by many educated readers.</t>
        </is>
      </c>
      <c r="C71" s="65">
        <f>Scoring!CC71</f>
        <v/>
      </c>
      <c r="D71" s="65">
        <f>Scoring!CD71</f>
        <v/>
      </c>
      <c r="E71" s="65">
        <f>Scoring!CE71</f>
        <v/>
      </c>
      <c r="F71" s="66" t="inlineStr">
        <is>
          <t>Social</t>
        </is>
      </c>
    </row>
    <row r="72" ht="36" customHeight="1">
      <c r="A72" s="50" t="n">
        <v>70</v>
      </c>
      <c r="B72" s="51" t="inlineStr">
        <is>
          <t>Climate change is primarily caused by human industrial activity — this is the overwhelming consensus among climate scientists worldwide.</t>
        </is>
      </c>
      <c r="C72" s="67">
        <f>Scoring!CC72</f>
        <v/>
      </c>
      <c r="D72" s="67">
        <f>Scoring!CD72</f>
        <v/>
      </c>
      <c r="E72" s="67">
        <f>Scoring!CE72</f>
        <v/>
      </c>
      <c r="F72" s="68" t="inlineStr">
        <is>
          <t>Science</t>
        </is>
      </c>
    </row>
    <row r="73" ht="36" customHeight="1">
      <c r="A73" s="50" t="n">
        <v>71</v>
      </c>
      <c r="B73" s="51" t="inlineStr">
        <is>
          <t>Morocco banned single-use plastic bags years ago — enforcement has been uneven but coastal pollution has measurably declined.</t>
        </is>
      </c>
      <c r="C73" s="67">
        <f>Scoring!CC73</f>
        <v/>
      </c>
      <c r="D73" s="67">
        <f>Scoring!CD73</f>
        <v/>
      </c>
      <c r="E73" s="67">
        <f>Scoring!CE73</f>
        <v/>
      </c>
      <c r="F73" s="68" t="inlineStr">
        <is>
          <t>Science</t>
        </is>
      </c>
    </row>
    <row r="74" ht="36" customHeight="1">
      <c r="A74" s="50" t="n">
        <v>72</v>
      </c>
      <c r="B74" s="51" t="inlineStr">
        <is>
          <t>Eating vegetables irrigated with treated wastewater causes cancer.</t>
        </is>
      </c>
      <c r="C74" s="67">
        <f>Scoring!CC74</f>
        <v/>
      </c>
      <c r="D74" s="67">
        <f>Scoring!CD74</f>
        <v/>
      </c>
      <c r="E74" s="67">
        <f>Scoring!CE74</f>
        <v/>
      </c>
      <c r="F74" s="68" t="inlineStr">
        <is>
          <t>Science</t>
        </is>
      </c>
    </row>
    <row r="75" ht="36" customHeight="1">
      <c r="A75" s="50" t="n">
        <v>73</v>
      </c>
      <c r="B75" s="51" t="inlineStr">
        <is>
          <t>Drinking tap water is safe in Morocco's major cities but unreliable in many rural areas.</t>
        </is>
      </c>
      <c r="C75" s="67">
        <f>Scoring!CC75</f>
        <v/>
      </c>
      <c r="D75" s="67">
        <f>Scoring!CD75</f>
        <v/>
      </c>
      <c r="E75" s="67">
        <f>Scoring!CE75</f>
        <v/>
      </c>
      <c r="F75" s="68" t="inlineStr">
        <is>
          <t>Science</t>
        </is>
      </c>
    </row>
    <row r="76" ht="36" customHeight="1">
      <c r="A76" s="50" t="n">
        <v>74</v>
      </c>
      <c r="B76" s="51" t="inlineStr">
        <is>
          <t>Plastic pollution in Moroccan rivers will make urban tap water unsafe to drink within the coming years.</t>
        </is>
      </c>
      <c r="C76" s="67">
        <f>Scoring!CC76</f>
        <v/>
      </c>
      <c r="D76" s="67">
        <f>Scoring!CD76</f>
        <v/>
      </c>
      <c r="E76" s="67">
        <f>Scoring!CE76</f>
        <v/>
      </c>
      <c r="F76" s="68" t="inlineStr">
        <is>
          <t>Science</t>
        </is>
      </c>
    </row>
    <row r="77" ht="36" customHeight="1">
      <c r="A77" s="50" t="n">
        <v>75</v>
      </c>
      <c r="B77" s="51" t="inlineStr">
        <is>
          <t>Morocco is investing in desalination infrastructure to reduce dependence on rainfall for water supply.</t>
        </is>
      </c>
      <c r="C77" s="67">
        <f>Scoring!CC77</f>
        <v/>
      </c>
      <c r="D77" s="67">
        <f>Scoring!CD77</f>
        <v/>
      </c>
      <c r="E77" s="67">
        <f>Scoring!CE77</f>
        <v/>
      </c>
      <c r="F77" s="68" t="inlineStr">
        <is>
          <t>Science</t>
        </is>
      </c>
    </row>
    <row r="78" ht="36" customHeight="1">
      <c r="A78" s="50" t="n">
        <v>76</v>
      </c>
      <c r="B78" s="51" t="inlineStr">
        <is>
          <t>A severe drop in cereal production due to drought has forced Morocco to significantly increase grain imports.</t>
        </is>
      </c>
      <c r="C78" s="67">
        <f>Scoring!CC78</f>
        <v/>
      </c>
      <c r="D78" s="67">
        <f>Scoring!CD78</f>
        <v/>
      </c>
      <c r="E78" s="67">
        <f>Scoring!CE78</f>
        <v/>
      </c>
      <c r="F78" s="68" t="inlineStr">
        <is>
          <t>Science</t>
        </is>
      </c>
    </row>
    <row r="79" ht="36" customHeight="1">
      <c r="A79" s="50" t="n">
        <v>77</v>
      </c>
      <c r="B79" s="51" t="inlineStr">
        <is>
          <t>The average global temperature has already risen measurably since pre-industrial times.</t>
        </is>
      </c>
      <c r="C79" s="67">
        <f>Scoring!CC79</f>
        <v/>
      </c>
      <c r="D79" s="67">
        <f>Scoring!CD79</f>
        <v/>
      </c>
      <c r="E79" s="67">
        <f>Scoring!CE79</f>
        <v/>
      </c>
      <c r="F79" s="68" t="inlineStr">
        <is>
          <t>Science</t>
        </is>
      </c>
    </row>
    <row r="80" ht="36" customHeight="1">
      <c r="A80" s="50" t="n">
        <v>78</v>
      </c>
      <c r="B80" s="51" t="inlineStr">
        <is>
          <t>Morocco's renewable energy capacity has grown significantly — it now generates a substantial share of electricity from wind and solar.</t>
        </is>
      </c>
      <c r="C80" s="67">
        <f>Scoring!CC80</f>
        <v/>
      </c>
      <c r="D80" s="67">
        <f>Scoring!CD80</f>
        <v/>
      </c>
      <c r="E80" s="67">
        <f>Scoring!CE80</f>
        <v/>
      </c>
      <c r="F80" s="68" t="inlineStr">
        <is>
          <t>Science</t>
        </is>
      </c>
    </row>
    <row r="81" ht="36" customHeight="1">
      <c r="A81" s="50" t="n">
        <v>79</v>
      </c>
      <c r="B81" s="51" t="inlineStr">
        <is>
          <t>Using a microwave oven regularly causes cancer through radiation exposure.</t>
        </is>
      </c>
      <c r="C81" s="67">
        <f>Scoring!CC81</f>
        <v/>
      </c>
      <c r="D81" s="67">
        <f>Scoring!CD81</f>
        <v/>
      </c>
      <c r="E81" s="67">
        <f>Scoring!CE81</f>
        <v/>
      </c>
      <c r="F81" s="68" t="inlineStr">
        <is>
          <t>Science</t>
        </is>
      </c>
    </row>
    <row r="82" ht="36" customHeight="1">
      <c r="A82" s="52" t="n">
        <v>80</v>
      </c>
      <c r="B82" s="43" t="inlineStr">
        <is>
          <t>Morocco was never fully colonized — it was administered as a protectorate and maintained its monarchy and formal sovereignty.</t>
        </is>
      </c>
      <c r="C82" s="69">
        <f>Scoring!CC82</f>
        <v/>
      </c>
      <c r="D82" s="69">
        <f>Scoring!CD82</f>
        <v/>
      </c>
      <c r="E82" s="69">
        <f>Scoring!CE82</f>
        <v/>
      </c>
      <c r="F82" s="70" t="inlineStr">
        <is>
          <t>History</t>
        </is>
      </c>
    </row>
    <row r="83" ht="36" customHeight="1">
      <c r="A83" s="52" t="n">
        <v>81</v>
      </c>
      <c r="B83" s="43" t="inlineStr">
        <is>
          <t>The Amazigh people are the indigenous population of North Africa, with a documented presence predating the Arab arrival by thousands of years.</t>
        </is>
      </c>
      <c r="C83" s="69">
        <f>Scoring!CC83</f>
        <v/>
      </c>
      <c r="D83" s="69">
        <f>Scoring!CD83</f>
        <v/>
      </c>
      <c r="E83" s="69">
        <f>Scoring!CE83</f>
        <v/>
      </c>
      <c r="F83" s="70" t="inlineStr">
        <is>
          <t>History</t>
        </is>
      </c>
    </row>
    <row r="84" ht="36" customHeight="1">
      <c r="A84" s="52" t="n">
        <v>82</v>
      </c>
      <c r="B84" s="43" t="inlineStr">
        <is>
          <t>Morocco was among the first countries in the world to formally recognize American independence, back in the late 1700s.</t>
        </is>
      </c>
      <c r="C84" s="69">
        <f>Scoring!CC84</f>
        <v/>
      </c>
      <c r="D84" s="69">
        <f>Scoring!CD84</f>
        <v/>
      </c>
      <c r="E84" s="69">
        <f>Scoring!CE84</f>
        <v/>
      </c>
      <c r="F84" s="70" t="inlineStr">
        <is>
          <t>History</t>
        </is>
      </c>
    </row>
    <row r="85" ht="36" customHeight="1">
      <c r="A85" s="52" t="n">
        <v>83</v>
      </c>
      <c r="B85" s="43" t="inlineStr">
        <is>
          <t>Ibn Battuta, born in Tangier, traveled a greater total distance than Marco Polo.</t>
        </is>
      </c>
      <c r="C85" s="69">
        <f>Scoring!CC85</f>
        <v/>
      </c>
      <c r="D85" s="69">
        <f>Scoring!CD85</f>
        <v/>
      </c>
      <c r="E85" s="69">
        <f>Scoring!CE85</f>
        <v/>
      </c>
      <c r="F85" s="70" t="inlineStr">
        <is>
          <t>History</t>
        </is>
      </c>
    </row>
    <row r="86" ht="36" customHeight="1">
      <c r="A86" s="52" t="n">
        <v>84</v>
      </c>
      <c r="B86" s="43" t="inlineStr">
        <is>
          <t>Morocco's Jewish community was once large and vibrant before most emigrated to Israel and France in the 20th century.</t>
        </is>
      </c>
      <c r="C86" s="69">
        <f>Scoring!CC86</f>
        <v/>
      </c>
      <c r="D86" s="69">
        <f>Scoring!CD86</f>
        <v/>
      </c>
      <c r="E86" s="69">
        <f>Scoring!CE86</f>
        <v/>
      </c>
      <c r="F86" s="70" t="inlineStr">
        <is>
          <t>History</t>
        </is>
      </c>
    </row>
    <row r="87" ht="36" customHeight="1">
      <c r="A87" s="52" t="n">
        <v>85</v>
      </c>
      <c r="B87" s="43" t="inlineStr">
        <is>
          <t>For most Moroccans, the national football team has become a more powerful symbol of shared identity than older national symbols.</t>
        </is>
      </c>
      <c r="C87" s="69">
        <f>Scoring!CC87</f>
        <v/>
      </c>
      <c r="D87" s="69">
        <f>Scoring!CD87</f>
        <v/>
      </c>
      <c r="E87" s="69">
        <f>Scoring!CE87</f>
        <v/>
      </c>
      <c r="F87" s="70" t="inlineStr">
        <is>
          <t>History</t>
        </is>
      </c>
    </row>
    <row r="88" ht="36" customHeight="1">
      <c r="A88" s="53" t="n">
        <v>86</v>
      </c>
      <c r="B88" s="54" t="inlineStr">
        <is>
          <t>Morocco's social security database was breached in a major cyberattack, exposing a huge number of citizens' personal data.</t>
        </is>
      </c>
      <c r="C88" s="71">
        <f>Scoring!CC88</f>
        <v/>
      </c>
      <c r="D88" s="71">
        <f>Scoring!CD88</f>
        <v/>
      </c>
      <c r="E88" s="71">
        <f>Scoring!CE88</f>
        <v/>
      </c>
      <c r="F88" s="72" t="inlineStr">
        <is>
          <t>Technology</t>
        </is>
      </c>
    </row>
    <row r="89" ht="36" customHeight="1">
      <c r="A89" s="53" t="n">
        <v>87</v>
      </c>
      <c r="B89" s="54" t="inlineStr">
        <is>
          <t>TikTok is banned in Morocco.</t>
        </is>
      </c>
      <c r="C89" s="71">
        <f>Scoring!CC89</f>
        <v/>
      </c>
      <c r="D89" s="71">
        <f>Scoring!CD89</f>
        <v/>
      </c>
      <c r="E89" s="71">
        <f>Scoring!CE89</f>
        <v/>
      </c>
      <c r="F89" s="72" t="inlineStr">
        <is>
          <t>Technology</t>
        </is>
      </c>
    </row>
    <row r="90" ht="36" customHeight="1">
      <c r="A90" s="53" t="n">
        <v>88</v>
      </c>
      <c r="B90" s="54" t="inlineStr">
        <is>
          <t>Using a VPN in Morocco is illegal.</t>
        </is>
      </c>
      <c r="C90" s="71">
        <f>Scoring!CC90</f>
        <v/>
      </c>
      <c r="D90" s="71">
        <f>Scoring!CD90</f>
        <v/>
      </c>
      <c r="E90" s="71">
        <f>Scoring!CE90</f>
        <v/>
      </c>
      <c r="F90" s="72" t="inlineStr">
        <is>
          <t>Technology</t>
        </is>
      </c>
    </row>
    <row r="91" ht="36" customHeight="1">
      <c r="A91" s="53" t="n">
        <v>89</v>
      </c>
      <c r="B91" s="54" t="inlineStr">
        <is>
          <t>Artificial intelligence will eliminate more jobs in Morocco than it creates in the years ahead.</t>
        </is>
      </c>
      <c r="C91" s="71">
        <f>Scoring!CC91</f>
        <v/>
      </c>
      <c r="D91" s="71">
        <f>Scoring!CD91</f>
        <v/>
      </c>
      <c r="E91" s="71">
        <f>Scoring!CE91</f>
        <v/>
      </c>
      <c r="F91" s="72" t="inlineStr">
        <is>
          <t>Technology</t>
        </is>
      </c>
    </row>
    <row r="92" ht="36" customHeight="1">
      <c r="A92" s="53" t="n">
        <v>90</v>
      </c>
      <c r="B92" s="54" t="inlineStr">
        <is>
          <t>The Moroccan government has legal tools to monitor private communications without the knowledge of the user.</t>
        </is>
      </c>
      <c r="C92" s="71">
        <f>Scoring!CC92</f>
        <v/>
      </c>
      <c r="D92" s="71">
        <f>Scoring!CD92</f>
        <v/>
      </c>
      <c r="E92" s="71">
        <f>Scoring!CE92</f>
        <v/>
      </c>
      <c r="F92" s="72" t="inlineStr">
        <is>
          <t>Technology</t>
        </is>
      </c>
    </row>
    <row r="93" ht="36" customHeight="1">
      <c r="A93" s="53" t="n">
        <v>91</v>
      </c>
      <c r="B93" s="54" t="inlineStr">
        <is>
          <t>Most young Moroccans now get their news from Instagram and TikTok before they ever check a newspaper or watch the evening news.</t>
        </is>
      </c>
      <c r="C93" s="71">
        <f>Scoring!CC93</f>
        <v/>
      </c>
      <c r="D93" s="71">
        <f>Scoring!CD93</f>
        <v/>
      </c>
      <c r="E93" s="71">
        <f>Scoring!CE93</f>
        <v/>
      </c>
      <c r="F93" s="72" t="inlineStr">
        <is>
          <t>Technology</t>
        </is>
      </c>
    </row>
    <row r="94" ht="36" customHeight="1">
      <c r="A94" s="53" t="n">
        <v>92</v>
      </c>
      <c r="B94" s="54" t="inlineStr">
        <is>
          <t>The big three telecom operators in Morocco — Maroc Telecom, Orange, and Inwi — keep prices similar enough that switching between them rarely actually saves you money.</t>
        </is>
      </c>
      <c r="C94" s="71">
        <f>Scoring!CC94</f>
        <v/>
      </c>
      <c r="D94" s="71">
        <f>Scoring!CD94</f>
        <v/>
      </c>
      <c r="E94" s="71">
        <f>Scoring!CE94</f>
        <v/>
      </c>
      <c r="F94" s="72" t="inlineStr">
        <is>
          <t>Technology</t>
        </is>
      </c>
    </row>
    <row r="95" ht="36" customHeight="1">
      <c r="A95" s="53" t="n">
        <v>93</v>
      </c>
      <c r="B95" s="54" t="inlineStr">
        <is>
          <t>Fake job offers and crypto investment scams targeting Moroccans through WhatsApp and Facebook have become noticeably more common in the last couple of years.</t>
        </is>
      </c>
      <c r="C95" s="71">
        <f>Scoring!CC95</f>
        <v/>
      </c>
      <c r="D95" s="71">
        <f>Scoring!CD95</f>
        <v/>
      </c>
      <c r="E95" s="71">
        <f>Scoring!CE95</f>
        <v/>
      </c>
      <c r="F95" s="72" t="inlineStr">
        <is>
          <t>Technology</t>
        </is>
      </c>
    </row>
    <row r="96" ht="36" customHeight="1">
      <c r="A96" s="53" t="n">
        <v>94</v>
      </c>
      <c r="B96" s="54" t="inlineStr">
        <is>
          <t>Getting your carte nationale or other official documents now takes far less back-and-forth at the administration than it did ten years ago, thanks to online services.</t>
        </is>
      </c>
      <c r="C96" s="71">
        <f>Scoring!CC96</f>
        <v/>
      </c>
      <c r="D96" s="71">
        <f>Scoring!CD96</f>
        <v/>
      </c>
      <c r="E96" s="71">
        <f>Scoring!CE96</f>
        <v/>
      </c>
      <c r="F96" s="72" t="inlineStr">
        <is>
          <t>Technology</t>
        </is>
      </c>
    </row>
    <row r="97" ht="36" customHeight="1">
      <c r="A97" s="53" t="n">
        <v>95</v>
      </c>
      <c r="B97" s="54" t="inlineStr">
        <is>
          <t>Surveillance cameras with facial recognition are already running in some Moroccan public spaces, and most people walking past have no idea.</t>
        </is>
      </c>
      <c r="C97" s="71">
        <f>Scoring!CC97</f>
        <v/>
      </c>
      <c r="D97" s="71">
        <f>Scoring!CD97</f>
        <v/>
      </c>
      <c r="E97" s="71">
        <f>Scoring!CE97</f>
        <v/>
      </c>
      <c r="F97" s="72" t="inlineStr">
        <is>
          <t>Technology</t>
        </is>
      </c>
    </row>
    <row r="98" ht="36" customHeight="1">
      <c r="A98" s="55" t="n">
        <v>96</v>
      </c>
      <c r="B98" s="56" t="inlineStr">
        <is>
          <t>We are living in a simulated reality — what we experience as the physical world is a kind of advanced computation.</t>
        </is>
      </c>
      <c r="C98" s="73">
        <f>Scoring!CC98</f>
        <v/>
      </c>
      <c r="D98" s="73">
        <f>Scoring!CD98</f>
        <v/>
      </c>
      <c r="E98" s="73">
        <f>Scoring!CE98</f>
        <v/>
      </c>
      <c r="F98" s="74" t="inlineStr">
        <is>
          <t>Big Ideas</t>
        </is>
      </c>
    </row>
    <row r="99" ht="36" customHeight="1">
      <c r="A99" s="55" t="n">
        <v>97</v>
      </c>
      <c r="B99" s="56" t="inlineStr">
        <is>
          <t>Everything that happens in a person's life was already determined before they were born.</t>
        </is>
      </c>
      <c r="C99" s="73">
        <f>Scoring!CC99</f>
        <v/>
      </c>
      <c r="D99" s="73">
        <f>Scoring!CD99</f>
        <v/>
      </c>
      <c r="E99" s="73">
        <f>Scoring!CE99</f>
        <v/>
      </c>
      <c r="F99" s="74" t="inlineStr">
        <is>
          <t>Big Ideas</t>
        </is>
      </c>
    </row>
    <row r="100" ht="36" customHeight="1">
      <c r="A100" s="55" t="n">
        <v>98</v>
      </c>
      <c r="B100" s="56" t="inlineStr">
        <is>
          <t>Human consciousness cannot be fully explained by brain activity alone — there is something beyond the physical.</t>
        </is>
      </c>
      <c r="C100" s="73">
        <f>Scoring!CC100</f>
        <v/>
      </c>
      <c r="D100" s="73">
        <f>Scoring!CD100</f>
        <v/>
      </c>
      <c r="E100" s="73">
        <f>Scoring!CE100</f>
        <v/>
      </c>
      <c r="F100" s="74" t="inlineStr">
        <is>
          <t>Big Ideas</t>
        </is>
      </c>
    </row>
    <row r="101" ht="36" customHeight="1">
      <c r="A101" s="55" t="n">
        <v>99</v>
      </c>
      <c r="B101" s="56" t="inlineStr">
        <is>
          <t>The universe was created with intention — its existence is not random.</t>
        </is>
      </c>
      <c r="C101" s="73">
        <f>Scoring!CC101</f>
        <v/>
      </c>
      <c r="D101" s="73">
        <f>Scoring!CD101</f>
        <v/>
      </c>
      <c r="E101" s="73">
        <f>Scoring!CE101</f>
        <v/>
      </c>
      <c r="F101" s="74" t="inlineStr">
        <is>
          <t>Big Ideas</t>
        </is>
      </c>
    </row>
    <row r="102" ht="36" customHeight="1">
      <c r="A102" s="55" t="n">
        <v>100</v>
      </c>
      <c r="B102" s="56" t="inlineStr">
        <is>
          <t>Free will is an illusion — every choice a person makes is the product of prior causes they did not choose.</t>
        </is>
      </c>
      <c r="C102" s="73">
        <f>Scoring!CC102</f>
        <v/>
      </c>
      <c r="D102" s="73">
        <f>Scoring!CD102</f>
        <v/>
      </c>
      <c r="E102" s="73">
        <f>Scoring!CE102</f>
        <v/>
      </c>
      <c r="F102" s="74" t="inlineStr">
        <is>
          <t>Big Ideas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2026-06-21T11:50:06Z</dcterms:created>
  <dcterms:modified xmlns:dcterms="http://purl.org/dc/terms/" xmlns:xsi="http://www.w3.org/2001/XMLSchema-instance" xsi:type="dcterms:W3CDTF">2026-06-21T14:29:19Z</dcterms:modified>
</cp:coreProperties>
</file>